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l\Desktop\SourcePrintingApp\UserForms\Debugging\"/>
    </mc:Choice>
  </mc:AlternateContent>
  <xr:revisionPtr revIDLastSave="0" documentId="13_ncr:1_{53CC74F8-5BEA-4F14-BDF4-DCDDEFAECCFF}" xr6:coauthVersionLast="47" xr6:coauthVersionMax="47" xr10:uidLastSave="{00000000-0000-0000-0000-000000000000}"/>
  <bookViews>
    <workbookView showHorizontalScroll="0" showVerticalScroll="0" xWindow="-108" yWindow="-108" windowWidth="23256" windowHeight="12576" xr2:uid="{00000000-000D-0000-FFFF-FFFF00000000}"/>
  </bookViews>
  <sheets>
    <sheet name="Sheet1" sheetId="1" r:id="rId1"/>
    <sheet name="Sheet4" sheetId="4" state="hidden" r:id="rId2"/>
    <sheet name="Sheet2" sheetId="2" r:id="rId3"/>
    <sheet name="Sheet3" sheetId="3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4" i="1" l="1" a="1"/>
  <c r="J14" i="1" s="1"/>
  <c r="J13" i="1" a="1"/>
  <c r="J13" i="1" s="1"/>
  <c r="J15" i="1" a="1"/>
  <c r="J15" i="1" s="1"/>
  <c r="J16" i="1" a="1"/>
  <c r="J16" i="1"/>
  <c r="J17" i="1" a="1"/>
  <c r="J17" i="1" s="1"/>
  <c r="J18" i="1" a="1"/>
  <c r="J18" i="1" s="1"/>
  <c r="J19" i="1" a="1"/>
  <c r="J19" i="1" s="1"/>
  <c r="J20" i="1" a="1"/>
  <c r="J20" i="1"/>
  <c r="J21" i="1" a="1"/>
  <c r="J21" i="1" s="1"/>
  <c r="J22" i="1" a="1"/>
  <c r="J22" i="1" s="1"/>
  <c r="J23" i="1" a="1"/>
  <c r="J23" i="1" s="1"/>
  <c r="J24" i="1" a="1"/>
  <c r="J24" i="1"/>
  <c r="J25" i="1" a="1"/>
  <c r="J25" i="1" s="1"/>
  <c r="J26" i="1" a="1"/>
  <c r="J26" i="1" s="1"/>
  <c r="J27" i="1" a="1"/>
  <c r="J27" i="1" s="1"/>
  <c r="J28" i="1" a="1"/>
  <c r="J28" i="1"/>
  <c r="J29" i="1" a="1"/>
  <c r="J29" i="1" s="1"/>
  <c r="J30" i="1" a="1"/>
  <c r="J30" i="1" s="1"/>
  <c r="J31" i="1" a="1"/>
  <c r="J31" i="1" s="1"/>
  <c r="J32" i="1" a="1"/>
  <c r="J32" i="1"/>
  <c r="J33" i="1" a="1"/>
  <c r="J33" i="1" s="1"/>
  <c r="J34" i="1" a="1"/>
  <c r="J34" i="1" s="1"/>
  <c r="J35" i="1" a="1"/>
  <c r="J35" i="1" s="1"/>
  <c r="J36" i="1" a="1"/>
  <c r="J36" i="1"/>
  <c r="J37" i="1" a="1"/>
  <c r="J37" i="1" s="1"/>
  <c r="J38" i="1" a="1"/>
  <c r="J38" i="1" s="1"/>
  <c r="J39" i="1" a="1"/>
  <c r="J39" i="1" s="1"/>
  <c r="J40" i="1" a="1"/>
  <c r="J40" i="1"/>
  <c r="J41" i="1" a="1"/>
  <c r="J41" i="1" s="1"/>
  <c r="J42" i="1" a="1"/>
  <c r="J42" i="1" s="1"/>
  <c r="J43" i="1" a="1"/>
  <c r="J43" i="1" s="1"/>
  <c r="J44" i="1" a="1"/>
  <c r="J44" i="1"/>
  <c r="J45" i="1" a="1"/>
  <c r="J45" i="1" s="1"/>
  <c r="J46" i="1" a="1"/>
  <c r="J46" i="1" s="1"/>
  <c r="J47" i="1" a="1"/>
  <c r="J47" i="1" s="1"/>
  <c r="J48" i="1" a="1"/>
  <c r="J48" i="1"/>
  <c r="J49" i="1" a="1"/>
  <c r="J49" i="1" s="1"/>
  <c r="J50" i="1" a="1"/>
  <c r="J50" i="1" s="1"/>
  <c r="J51" i="1" a="1"/>
  <c r="J51" i="1" s="1"/>
  <c r="J52" i="1" a="1"/>
  <c r="J52" i="1"/>
  <c r="J53" i="1" a="1"/>
  <c r="J53" i="1" s="1"/>
  <c r="J54" i="1" a="1"/>
  <c r="J54" i="1" s="1"/>
  <c r="J55" i="1" a="1"/>
  <c r="J55" i="1" s="1"/>
  <c r="J56" i="1" a="1"/>
  <c r="J56" i="1"/>
  <c r="J57" i="1" a="1"/>
  <c r="J57" i="1" s="1"/>
  <c r="J58" i="1" a="1"/>
  <c r="J58" i="1" s="1"/>
  <c r="J59" i="1" a="1"/>
  <c r="J59" i="1" s="1"/>
  <c r="J60" i="1" a="1"/>
  <c r="J60" i="1"/>
  <c r="J61" i="1" a="1"/>
  <c r="J61" i="1" s="1"/>
  <c r="J62" i="1" a="1"/>
  <c r="J62" i="1" s="1"/>
  <c r="J63" i="1" a="1"/>
  <c r="J63" i="1" s="1"/>
  <c r="J64" i="1" a="1"/>
  <c r="J64" i="1"/>
  <c r="J65" i="1" a="1"/>
  <c r="J65" i="1" s="1"/>
  <c r="J66" i="1" a="1"/>
  <c r="J66" i="1" s="1"/>
  <c r="J67" i="1" a="1"/>
  <c r="J67" i="1" s="1"/>
  <c r="J68" i="1" a="1"/>
  <c r="J68" i="1"/>
  <c r="J69" i="1" a="1"/>
  <c r="J69" i="1" s="1"/>
  <c r="J70" i="1" a="1"/>
  <c r="J70" i="1" s="1"/>
  <c r="J71" i="1" a="1"/>
  <c r="J71" i="1" s="1"/>
  <c r="J72" i="1" a="1"/>
  <c r="J72" i="1"/>
  <c r="J73" i="1" a="1"/>
  <c r="J73" i="1" s="1"/>
  <c r="J74" i="1" a="1"/>
  <c r="J74" i="1" s="1"/>
  <c r="J75" i="1" a="1"/>
  <c r="J75" i="1" s="1"/>
  <c r="J76" i="1" a="1"/>
  <c r="J76" i="1"/>
  <c r="J77" i="1" a="1"/>
  <c r="J77" i="1" s="1"/>
  <c r="J78" i="1" a="1"/>
  <c r="J78" i="1" s="1"/>
  <c r="J79" i="1" a="1"/>
  <c r="J79" i="1" s="1"/>
  <c r="J80" i="1" a="1"/>
  <c r="J80" i="1"/>
  <c r="J81" i="1" a="1"/>
  <c r="J81" i="1" s="1"/>
  <c r="J82" i="1" a="1"/>
  <c r="J82" i="1" s="1"/>
  <c r="J83" i="1" a="1"/>
  <c r="J83" i="1" s="1"/>
  <c r="J84" i="1" a="1"/>
  <c r="J84" i="1"/>
  <c r="J85" i="1" a="1"/>
  <c r="J85" i="1" s="1"/>
  <c r="J86" i="1" a="1"/>
  <c r="J86" i="1" s="1"/>
  <c r="J87" i="1" a="1"/>
  <c r="J87" i="1" s="1"/>
  <c r="J88" i="1" a="1"/>
  <c r="J88" i="1"/>
  <c r="J89" i="1" a="1"/>
  <c r="J89" i="1" s="1"/>
  <c r="J90" i="1" a="1"/>
  <c r="J90" i="1" s="1"/>
  <c r="J91" i="1" a="1"/>
  <c r="J91" i="1" s="1"/>
  <c r="J92" i="1" a="1"/>
  <c r="J92" i="1"/>
  <c r="J93" i="1" a="1"/>
  <c r="J93" i="1" s="1"/>
  <c r="J94" i="1" a="1"/>
  <c r="J94" i="1" s="1"/>
  <c r="J95" i="1" a="1"/>
  <c r="J95" i="1" s="1"/>
  <c r="J96" i="1" a="1"/>
  <c r="J96" i="1"/>
  <c r="J97" i="1" a="1"/>
  <c r="J97" i="1" s="1"/>
  <c r="J98" i="1" a="1"/>
  <c r="J98" i="1" s="1"/>
  <c r="J99" i="1" a="1"/>
  <c r="J99" i="1" s="1"/>
  <c r="J100" i="1" a="1"/>
  <c r="J100" i="1"/>
  <c r="J101" i="1" a="1"/>
  <c r="J101" i="1" s="1"/>
  <c r="J102" i="1" a="1"/>
  <c r="J102" i="1" s="1"/>
  <c r="J103" i="1" a="1"/>
  <c r="J103" i="1" s="1"/>
  <c r="J104" i="1" a="1"/>
  <c r="J104" i="1"/>
  <c r="J105" i="1" a="1"/>
  <c r="J105" i="1" s="1"/>
  <c r="J106" i="1" a="1"/>
  <c r="J106" i="1" s="1"/>
  <c r="J107" i="1" a="1"/>
  <c r="J107" i="1" s="1"/>
  <c r="J108" i="1" a="1"/>
  <c r="J108" i="1"/>
  <c r="J109" i="1" a="1"/>
  <c r="J109" i="1" s="1"/>
  <c r="J110" i="1" a="1"/>
  <c r="J110" i="1" s="1"/>
  <c r="J111" i="1" a="1"/>
  <c r="J111" i="1" s="1"/>
  <c r="J112" i="1" a="1"/>
  <c r="J112" i="1"/>
  <c r="J113" i="1" a="1"/>
  <c r="J113" i="1" s="1"/>
  <c r="J114" i="1" a="1"/>
  <c r="J114" i="1" s="1"/>
  <c r="J115" i="1" a="1"/>
  <c r="J115" i="1" s="1"/>
  <c r="J116" i="1" a="1"/>
  <c r="J116" i="1"/>
  <c r="J117" i="1" a="1"/>
  <c r="J117" i="1" s="1"/>
  <c r="J118" i="1" a="1"/>
  <c r="J118" i="1" s="1"/>
  <c r="J119" i="1" a="1"/>
  <c r="J119" i="1" s="1"/>
  <c r="J120" i="1" a="1"/>
  <c r="J120" i="1"/>
  <c r="J121" i="1" a="1"/>
  <c r="J121" i="1" s="1"/>
  <c r="J122" i="1" a="1"/>
  <c r="J122" i="1" s="1"/>
  <c r="J123" i="1" a="1"/>
  <c r="J123" i="1" s="1"/>
  <c r="J124" i="1" a="1"/>
  <c r="J124" i="1"/>
  <c r="J125" i="1" a="1"/>
  <c r="J125" i="1" s="1"/>
  <c r="J126" i="1" a="1"/>
  <c r="J126" i="1" s="1"/>
  <c r="J127" i="1" a="1"/>
  <c r="J127" i="1" s="1"/>
  <c r="J128" i="1" a="1"/>
  <c r="J128" i="1"/>
  <c r="J129" i="1" a="1"/>
  <c r="J129" i="1" s="1"/>
  <c r="J130" i="1" a="1"/>
  <c r="J130" i="1" s="1"/>
  <c r="J131" i="1" a="1"/>
  <c r="J131" i="1" s="1"/>
  <c r="J132" i="1" a="1"/>
  <c r="J132" i="1"/>
  <c r="J133" i="1" a="1"/>
  <c r="J133" i="1" s="1"/>
  <c r="J134" i="1" a="1"/>
  <c r="J134" i="1" s="1"/>
  <c r="J135" i="1" a="1"/>
  <c r="J135" i="1" s="1"/>
  <c r="J136" i="1" a="1"/>
  <c r="J136" i="1"/>
  <c r="J137" i="1" a="1"/>
  <c r="J137" i="1" s="1"/>
  <c r="J138" i="1" a="1"/>
  <c r="J138" i="1" s="1"/>
  <c r="J139" i="1" a="1"/>
  <c r="J139" i="1" s="1"/>
  <c r="J140" i="1" a="1"/>
  <c r="J140" i="1"/>
  <c r="J141" i="1" a="1"/>
  <c r="J141" i="1" s="1"/>
  <c r="J142" i="1" a="1"/>
  <c r="J142" i="1" s="1"/>
  <c r="J143" i="1" a="1"/>
  <c r="J143" i="1" s="1"/>
  <c r="J144" i="1" a="1"/>
  <c r="J144" i="1"/>
  <c r="J145" i="1" a="1"/>
  <c r="J145" i="1" s="1"/>
  <c r="J146" i="1" a="1"/>
  <c r="J146" i="1" s="1"/>
  <c r="J147" i="1" a="1"/>
  <c r="J147" i="1" s="1"/>
  <c r="J148" i="1" a="1"/>
  <c r="J148" i="1"/>
  <c r="J149" i="1" a="1"/>
  <c r="J149" i="1" s="1"/>
  <c r="J150" i="1" a="1"/>
  <c r="J150" i="1" s="1"/>
  <c r="J151" i="1" a="1"/>
  <c r="J151" i="1" s="1"/>
  <c r="J152" i="1" a="1"/>
  <c r="J152" i="1"/>
  <c r="J153" i="1" a="1"/>
  <c r="J153" i="1" s="1"/>
  <c r="J154" i="1" a="1"/>
  <c r="J154" i="1" s="1"/>
  <c r="J155" i="1" a="1"/>
  <c r="J155" i="1" s="1"/>
  <c r="J156" i="1" a="1"/>
  <c r="J156" i="1"/>
  <c r="J157" i="1" a="1"/>
  <c r="J157" i="1" s="1"/>
  <c r="J158" i="1" a="1"/>
  <c r="J158" i="1" s="1"/>
  <c r="J159" i="1" a="1"/>
  <c r="J159" i="1" s="1"/>
  <c r="J160" i="1" a="1"/>
  <c r="J160" i="1"/>
  <c r="J161" i="1" a="1"/>
  <c r="J161" i="1" s="1"/>
  <c r="J162" i="1" a="1"/>
  <c r="J162" i="1" s="1"/>
  <c r="J163" i="1" a="1"/>
  <c r="J163" i="1" s="1"/>
  <c r="J164" i="1" a="1"/>
  <c r="J164" i="1"/>
  <c r="J165" i="1" a="1"/>
  <c r="J165" i="1" s="1"/>
  <c r="J166" i="1" a="1"/>
  <c r="J166" i="1" s="1"/>
  <c r="J167" i="1" a="1"/>
  <c r="J167" i="1" s="1"/>
  <c r="J168" i="1" a="1"/>
  <c r="J168" i="1"/>
  <c r="J169" i="1" a="1"/>
  <c r="J169" i="1" s="1"/>
  <c r="J170" i="1" a="1"/>
  <c r="J170" i="1" s="1"/>
  <c r="J171" i="1" a="1"/>
  <c r="J171" i="1" s="1"/>
  <c r="J172" i="1" a="1"/>
  <c r="J172" i="1"/>
  <c r="J173" i="1" a="1"/>
  <c r="J173" i="1" s="1"/>
  <c r="J174" i="1" a="1"/>
  <c r="J174" i="1" s="1"/>
  <c r="J175" i="1" a="1"/>
  <c r="J175" i="1" s="1"/>
  <c r="J176" i="1" a="1"/>
  <c r="J176" i="1"/>
  <c r="J177" i="1" a="1"/>
  <c r="J177" i="1" s="1"/>
  <c r="J178" i="1" a="1"/>
  <c r="J178" i="1" s="1"/>
  <c r="J179" i="1" a="1"/>
  <c r="J179" i="1" s="1"/>
  <c r="J180" i="1" a="1"/>
  <c r="J180" i="1"/>
  <c r="J181" i="1" a="1"/>
  <c r="J181" i="1" s="1"/>
  <c r="J182" i="1" a="1"/>
  <c r="J182" i="1" s="1"/>
  <c r="J183" i="1" a="1"/>
  <c r="J183" i="1" s="1"/>
  <c r="J184" i="1" a="1"/>
  <c r="J184" i="1"/>
  <c r="J185" i="1" a="1"/>
  <c r="J185" i="1" s="1"/>
  <c r="J186" i="1" a="1"/>
  <c r="J186" i="1" s="1"/>
  <c r="J187" i="1" a="1"/>
  <c r="J187" i="1" s="1"/>
  <c r="J188" i="1" a="1"/>
  <c r="J188" i="1"/>
  <c r="J189" i="1" a="1"/>
  <c r="J189" i="1" s="1"/>
  <c r="J190" i="1" a="1"/>
  <c r="J190" i="1" s="1"/>
  <c r="J191" i="1" a="1"/>
  <c r="J191" i="1" s="1"/>
  <c r="J192" i="1" a="1"/>
  <c r="J192" i="1"/>
  <c r="J193" i="1" a="1"/>
  <c r="J193" i="1" s="1"/>
  <c r="J194" i="1" a="1"/>
  <c r="J194" i="1" s="1"/>
  <c r="J195" i="1" a="1"/>
  <c r="J195" i="1" s="1"/>
  <c r="J196" i="1" a="1"/>
  <c r="J196" i="1"/>
  <c r="J197" i="1" a="1"/>
  <c r="J197" i="1" s="1"/>
  <c r="J198" i="1" a="1"/>
  <c r="J198" i="1" s="1"/>
  <c r="J199" i="1" a="1"/>
  <c r="J199" i="1" s="1"/>
  <c r="J200" i="1" a="1"/>
  <c r="J200" i="1"/>
  <c r="J201" i="1" a="1"/>
  <c r="J201" i="1" s="1"/>
  <c r="J202" i="1" a="1"/>
  <c r="J202" i="1" s="1"/>
  <c r="J203" i="1" a="1"/>
  <c r="J203" i="1" s="1"/>
  <c r="J204" i="1" a="1"/>
  <c r="J204" i="1"/>
  <c r="J205" i="1" a="1"/>
  <c r="J205" i="1" s="1"/>
  <c r="J206" i="1" a="1"/>
  <c r="J206" i="1" s="1"/>
  <c r="J207" i="1" a="1"/>
  <c r="J207" i="1" s="1"/>
  <c r="J208" i="1" a="1"/>
  <c r="J208" i="1"/>
  <c r="J209" i="1" a="1"/>
  <c r="J209" i="1" s="1"/>
  <c r="J210" i="1" a="1"/>
  <c r="J210" i="1" s="1"/>
  <c r="J211" i="1" a="1"/>
  <c r="J211" i="1" s="1"/>
  <c r="J212" i="1" a="1"/>
  <c r="J212" i="1"/>
  <c r="J213" i="1" a="1"/>
  <c r="J213" i="1" s="1"/>
  <c r="J214" i="1" a="1"/>
  <c r="J214" i="1" s="1"/>
  <c r="J215" i="1" a="1"/>
  <c r="J215" i="1" s="1"/>
  <c r="J216" i="1" a="1"/>
  <c r="J216" i="1"/>
  <c r="J217" i="1" a="1"/>
  <c r="J217" i="1" s="1"/>
  <c r="J218" i="1" a="1"/>
  <c r="J218" i="1" s="1"/>
  <c r="J219" i="1" a="1"/>
  <c r="J219" i="1" s="1"/>
  <c r="J220" i="1" a="1"/>
  <c r="J220" i="1"/>
  <c r="J221" i="1" a="1"/>
  <c r="J221" i="1" s="1"/>
  <c r="J222" i="1" a="1"/>
  <c r="J222" i="1" s="1"/>
  <c r="J223" i="1" a="1"/>
  <c r="J223" i="1" s="1"/>
  <c r="J224" i="1" a="1"/>
  <c r="J224" i="1"/>
  <c r="J225" i="1" a="1"/>
  <c r="J225" i="1" s="1"/>
  <c r="J226" i="1" a="1"/>
  <c r="J226" i="1" s="1"/>
  <c r="J227" i="1" a="1"/>
  <c r="J227" i="1" s="1"/>
  <c r="J228" i="1" a="1"/>
  <c r="J228" i="1"/>
  <c r="J229" i="1" a="1"/>
  <c r="J229" i="1" s="1"/>
  <c r="J230" i="1" a="1"/>
  <c r="J230" i="1" s="1"/>
  <c r="J231" i="1" a="1"/>
  <c r="J231" i="1" s="1"/>
  <c r="J232" i="1" a="1"/>
  <c r="J232" i="1"/>
  <c r="J233" i="1" a="1"/>
  <c r="J233" i="1" s="1"/>
  <c r="J234" i="1" a="1"/>
  <c r="J234" i="1" s="1"/>
  <c r="J235" i="1" a="1"/>
  <c r="J235" i="1" s="1"/>
  <c r="J236" i="1" a="1"/>
  <c r="J236" i="1"/>
  <c r="J237" i="1" a="1"/>
  <c r="J237" i="1" s="1"/>
  <c r="J238" i="1" a="1"/>
  <c r="J238" i="1" s="1"/>
  <c r="J239" i="1" a="1"/>
  <c r="J239" i="1" s="1"/>
  <c r="J240" i="1" a="1"/>
  <c r="J240" i="1"/>
  <c r="J241" i="1" a="1"/>
  <c r="J241" i="1" s="1"/>
  <c r="J242" i="1" a="1"/>
  <c r="J242" i="1" s="1"/>
  <c r="J243" i="1" a="1"/>
  <c r="J243" i="1" s="1"/>
  <c r="J244" i="1" a="1"/>
  <c r="J244" i="1"/>
  <c r="J245" i="1" a="1"/>
  <c r="J245" i="1" s="1"/>
  <c r="J246" i="1" a="1"/>
  <c r="J246" i="1" s="1"/>
  <c r="J247" i="1" a="1"/>
  <c r="J247" i="1" s="1"/>
  <c r="J248" i="1" a="1"/>
  <c r="J248" i="1"/>
  <c r="J249" i="1" a="1"/>
  <c r="J249" i="1" s="1"/>
  <c r="J250" i="1" a="1"/>
  <c r="J250" i="1" s="1"/>
  <c r="J251" i="1" a="1"/>
  <c r="J251" i="1" s="1"/>
  <c r="J252" i="1" a="1"/>
  <c r="J252" i="1"/>
  <c r="J253" i="1" a="1"/>
  <c r="J253" i="1" s="1"/>
  <c r="J254" i="1" a="1"/>
  <c r="J254" i="1" s="1"/>
  <c r="J255" i="1" a="1"/>
  <c r="J255" i="1" s="1"/>
  <c r="J256" i="1" a="1"/>
  <c r="J256" i="1"/>
  <c r="J257" i="1" a="1"/>
  <c r="J257" i="1" s="1"/>
  <c r="J258" i="1" a="1"/>
  <c r="J258" i="1" s="1"/>
  <c r="J259" i="1" a="1"/>
  <c r="J259" i="1" s="1"/>
  <c r="J260" i="1" a="1"/>
  <c r="J260" i="1"/>
  <c r="J261" i="1" a="1"/>
  <c r="J261" i="1" s="1"/>
  <c r="J262" i="1" a="1"/>
  <c r="J262" i="1" s="1"/>
  <c r="J263" i="1" a="1"/>
  <c r="J263" i="1" s="1"/>
  <c r="J264" i="1" a="1"/>
  <c r="J264" i="1"/>
  <c r="J265" i="1" a="1"/>
  <c r="J265" i="1" s="1"/>
  <c r="J266" i="1" a="1"/>
  <c r="J266" i="1" s="1"/>
  <c r="J267" i="1" a="1"/>
  <c r="J267" i="1" s="1"/>
  <c r="J268" i="1" a="1"/>
  <c r="J268" i="1"/>
  <c r="J269" i="1" a="1"/>
  <c r="J269" i="1" s="1"/>
  <c r="J270" i="1" a="1"/>
  <c r="J270" i="1" s="1"/>
  <c r="J271" i="1" a="1"/>
  <c r="J271" i="1" s="1"/>
  <c r="J272" i="1" a="1"/>
  <c r="J272" i="1"/>
  <c r="J273" i="1" a="1"/>
  <c r="J273" i="1" s="1"/>
  <c r="J274" i="1" a="1"/>
  <c r="J274" i="1" s="1"/>
  <c r="J275" i="1" a="1"/>
  <c r="J275" i="1" s="1"/>
  <c r="J276" i="1" a="1"/>
  <c r="J276" i="1"/>
  <c r="J277" i="1" a="1"/>
  <c r="J277" i="1" s="1"/>
  <c r="J278" i="1" a="1"/>
  <c r="J278" i="1" s="1"/>
  <c r="J279" i="1" a="1"/>
  <c r="J279" i="1" s="1"/>
  <c r="J280" i="1" a="1"/>
  <c r="J280" i="1"/>
  <c r="J281" i="1" a="1"/>
  <c r="J281" i="1" s="1"/>
  <c r="J282" i="1" a="1"/>
  <c r="J282" i="1" s="1"/>
  <c r="J283" i="1" a="1"/>
  <c r="J283" i="1" s="1"/>
  <c r="J284" i="1" a="1"/>
  <c r="J284" i="1"/>
  <c r="J285" i="1" a="1"/>
  <c r="J285" i="1" s="1"/>
  <c r="J286" i="1" a="1"/>
  <c r="J286" i="1" s="1"/>
  <c r="J287" i="1" a="1"/>
  <c r="J287" i="1" s="1"/>
  <c r="J288" i="1" a="1"/>
  <c r="J288" i="1"/>
  <c r="J289" i="1" a="1"/>
  <c r="J289" i="1" s="1"/>
  <c r="J290" i="1" a="1"/>
  <c r="J290" i="1" s="1"/>
  <c r="J291" i="1" a="1"/>
  <c r="J291" i="1" s="1"/>
  <c r="J292" i="1" a="1"/>
  <c r="J292" i="1"/>
  <c r="J293" i="1" a="1"/>
  <c r="J293" i="1" s="1"/>
  <c r="J294" i="1" a="1"/>
  <c r="J294" i="1" s="1"/>
  <c r="J295" i="1" a="1"/>
  <c r="J295" i="1" s="1"/>
  <c r="J296" i="1" a="1"/>
  <c r="J296" i="1"/>
  <c r="J297" i="1" a="1"/>
  <c r="J297" i="1" s="1"/>
  <c r="J298" i="1" a="1"/>
  <c r="J298" i="1" s="1"/>
  <c r="J299" i="1" a="1"/>
  <c r="J299" i="1" s="1"/>
  <c r="J300" i="1" a="1"/>
  <c r="J300" i="1"/>
  <c r="J301" i="1" a="1"/>
  <c r="J301" i="1" s="1"/>
  <c r="J302" i="1" a="1"/>
  <c r="J302" i="1" s="1"/>
  <c r="J303" i="1" a="1"/>
  <c r="J303" i="1" s="1"/>
  <c r="J304" i="1" a="1"/>
  <c r="J304" i="1"/>
  <c r="J305" i="1" a="1"/>
  <c r="J305" i="1" s="1"/>
  <c r="J306" i="1" a="1"/>
  <c r="J306" i="1" s="1"/>
  <c r="J307" i="1" a="1"/>
  <c r="J307" i="1" s="1"/>
  <c r="J308" i="1" a="1"/>
  <c r="J308" i="1"/>
  <c r="J309" i="1" a="1"/>
  <c r="J309" i="1" s="1"/>
  <c r="J12" i="1" a="1"/>
  <c r="J12" i="1" s="1"/>
  <c r="I14" i="1" a="1"/>
  <c r="I14" i="1" s="1"/>
  <c r="I15" i="1" a="1"/>
  <c r="I15" i="1" s="1"/>
  <c r="I16" i="1" a="1"/>
  <c r="I16" i="1"/>
  <c r="I17" i="1" a="1"/>
  <c r="I17" i="1" s="1"/>
  <c r="I18" i="1" a="1"/>
  <c r="I18" i="1" s="1"/>
  <c r="I19" i="1" a="1"/>
  <c r="I19" i="1" s="1"/>
  <c r="I20" i="1" a="1"/>
  <c r="I20" i="1" s="1"/>
  <c r="I21" i="1" a="1"/>
  <c r="I21" i="1"/>
  <c r="I22" i="1" a="1"/>
  <c r="I22" i="1" s="1"/>
  <c r="I23" i="1" a="1"/>
  <c r="I23" i="1" s="1"/>
  <c r="I24" i="1" a="1"/>
  <c r="I24" i="1"/>
  <c r="I25" i="1" a="1"/>
  <c r="I25" i="1" s="1"/>
  <c r="I26" i="1" a="1"/>
  <c r="I26" i="1" s="1"/>
  <c r="I27" i="1" a="1"/>
  <c r="I27" i="1" s="1"/>
  <c r="I28" i="1" a="1"/>
  <c r="I28" i="1" s="1"/>
  <c r="I29" i="1" a="1"/>
  <c r="I29" i="1"/>
  <c r="I30" i="1" a="1"/>
  <c r="I30" i="1" s="1"/>
  <c r="I31" i="1" a="1"/>
  <c r="I31" i="1" s="1"/>
  <c r="I32" i="1" a="1"/>
  <c r="I32" i="1"/>
  <c r="I33" i="1" a="1"/>
  <c r="I33" i="1" s="1"/>
  <c r="I34" i="1" a="1"/>
  <c r="I34" i="1" s="1"/>
  <c r="I35" i="1" a="1"/>
  <c r="I35" i="1" s="1"/>
  <c r="I36" i="1" a="1"/>
  <c r="I36" i="1" s="1"/>
  <c r="I37" i="1" a="1"/>
  <c r="I37" i="1"/>
  <c r="I38" i="1" a="1"/>
  <c r="I38" i="1" s="1"/>
  <c r="I39" i="1" a="1"/>
  <c r="I39" i="1" s="1"/>
  <c r="I40" i="1" a="1"/>
  <c r="I40" i="1"/>
  <c r="I41" i="1" a="1"/>
  <c r="I41" i="1" s="1"/>
  <c r="I42" i="1" a="1"/>
  <c r="I42" i="1" s="1"/>
  <c r="I43" i="1" a="1"/>
  <c r="I43" i="1" s="1"/>
  <c r="I44" i="1" a="1"/>
  <c r="I44" i="1" s="1"/>
  <c r="I45" i="1" a="1"/>
  <c r="I45" i="1"/>
  <c r="I46" i="1" a="1"/>
  <c r="I46" i="1" s="1"/>
  <c r="I47" i="1" a="1"/>
  <c r="I47" i="1" s="1"/>
  <c r="I48" i="1" a="1"/>
  <c r="I48" i="1"/>
  <c r="I49" i="1" a="1"/>
  <c r="I49" i="1" s="1"/>
  <c r="I50" i="1" a="1"/>
  <c r="I50" i="1" s="1"/>
  <c r="I51" i="1" a="1"/>
  <c r="I51" i="1" s="1"/>
  <c r="I52" i="1" a="1"/>
  <c r="I52" i="1" s="1"/>
  <c r="I53" i="1" a="1"/>
  <c r="I53" i="1"/>
  <c r="I54" i="1" a="1"/>
  <c r="I54" i="1" s="1"/>
  <c r="I55" i="1" a="1"/>
  <c r="I55" i="1" s="1"/>
  <c r="I56" i="1" a="1"/>
  <c r="I56" i="1"/>
  <c r="I57" i="1" a="1"/>
  <c r="I57" i="1" s="1"/>
  <c r="I58" i="1" a="1"/>
  <c r="I58" i="1" s="1"/>
  <c r="I59" i="1" a="1"/>
  <c r="I59" i="1" s="1"/>
  <c r="I60" i="1" a="1"/>
  <c r="I60" i="1" s="1"/>
  <c r="I61" i="1" a="1"/>
  <c r="I61" i="1"/>
  <c r="I62" i="1" a="1"/>
  <c r="I62" i="1" s="1"/>
  <c r="I63" i="1" a="1"/>
  <c r="I63" i="1" s="1"/>
  <c r="I64" i="1" a="1"/>
  <c r="I64" i="1"/>
  <c r="I65" i="1" a="1"/>
  <c r="I65" i="1" s="1"/>
  <c r="I66" i="1" a="1"/>
  <c r="I66" i="1" s="1"/>
  <c r="I67" i="1" a="1"/>
  <c r="I67" i="1" s="1"/>
  <c r="I68" i="1" a="1"/>
  <c r="I68" i="1" s="1"/>
  <c r="I69" i="1" a="1"/>
  <c r="I69" i="1"/>
  <c r="I70" i="1" a="1"/>
  <c r="I70" i="1" s="1"/>
  <c r="I71" i="1" a="1"/>
  <c r="I71" i="1" s="1"/>
  <c r="I72" i="1" a="1"/>
  <c r="I72" i="1"/>
  <c r="I73" i="1" a="1"/>
  <c r="I73" i="1" s="1"/>
  <c r="I74" i="1" a="1"/>
  <c r="I74" i="1" s="1"/>
  <c r="I75" i="1" a="1"/>
  <c r="I75" i="1" s="1"/>
  <c r="I76" i="1" a="1"/>
  <c r="I76" i="1" s="1"/>
  <c r="I77" i="1" a="1"/>
  <c r="I77" i="1"/>
  <c r="I78" i="1" a="1"/>
  <c r="I78" i="1" s="1"/>
  <c r="I79" i="1" a="1"/>
  <c r="I79" i="1" s="1"/>
  <c r="I80" i="1" a="1"/>
  <c r="I80" i="1"/>
  <c r="I81" i="1" a="1"/>
  <c r="I81" i="1" s="1"/>
  <c r="I82" i="1" a="1"/>
  <c r="I82" i="1" s="1"/>
  <c r="I83" i="1" a="1"/>
  <c r="I83" i="1" s="1"/>
  <c r="I84" i="1" a="1"/>
  <c r="I84" i="1" s="1"/>
  <c r="I85" i="1" a="1"/>
  <c r="I85" i="1"/>
  <c r="I86" i="1" a="1"/>
  <c r="I86" i="1" s="1"/>
  <c r="I87" i="1" a="1"/>
  <c r="I87" i="1" s="1"/>
  <c r="I88" i="1" a="1"/>
  <c r="I88" i="1"/>
  <c r="I89" i="1" a="1"/>
  <c r="I89" i="1" s="1"/>
  <c r="I90" i="1" a="1"/>
  <c r="I90" i="1" s="1"/>
  <c r="I91" i="1" a="1"/>
  <c r="I91" i="1" s="1"/>
  <c r="I92" i="1" a="1"/>
  <c r="I92" i="1" s="1"/>
  <c r="I93" i="1" a="1"/>
  <c r="I93" i="1"/>
  <c r="I94" i="1" a="1"/>
  <c r="I94" i="1" s="1"/>
  <c r="I95" i="1" a="1"/>
  <c r="I95" i="1" s="1"/>
  <c r="I96" i="1" a="1"/>
  <c r="I96" i="1"/>
  <c r="I97" i="1" a="1"/>
  <c r="I97" i="1" s="1"/>
  <c r="I98" i="1" a="1"/>
  <c r="I98" i="1" s="1"/>
  <c r="I99" i="1" a="1"/>
  <c r="I99" i="1" s="1"/>
  <c r="I100" i="1" a="1"/>
  <c r="I100" i="1" s="1"/>
  <c r="I101" i="1" a="1"/>
  <c r="I101" i="1"/>
  <c r="I102" i="1" a="1"/>
  <c r="I102" i="1" s="1"/>
  <c r="I103" i="1" a="1"/>
  <c r="I103" i="1" s="1"/>
  <c r="I104" i="1" a="1"/>
  <c r="I104" i="1"/>
  <c r="I105" i="1" a="1"/>
  <c r="I105" i="1" s="1"/>
  <c r="I106" i="1" a="1"/>
  <c r="I106" i="1" s="1"/>
  <c r="I107" i="1" a="1"/>
  <c r="I107" i="1" s="1"/>
  <c r="I108" i="1" a="1"/>
  <c r="I108" i="1" s="1"/>
  <c r="I109" i="1" a="1"/>
  <c r="I109" i="1"/>
  <c r="I110" i="1" a="1"/>
  <c r="I110" i="1" s="1"/>
  <c r="I111" i="1" a="1"/>
  <c r="I111" i="1" s="1"/>
  <c r="I112" i="1" a="1"/>
  <c r="I112" i="1"/>
  <c r="I113" i="1" a="1"/>
  <c r="I113" i="1" s="1"/>
  <c r="I114" i="1" a="1"/>
  <c r="I114" i="1" s="1"/>
  <c r="I115" i="1" a="1"/>
  <c r="I115" i="1" s="1"/>
  <c r="I116" i="1" a="1"/>
  <c r="I116" i="1" s="1"/>
  <c r="I117" i="1" a="1"/>
  <c r="I117" i="1"/>
  <c r="I118" i="1" a="1"/>
  <c r="I118" i="1" s="1"/>
  <c r="I119" i="1" a="1"/>
  <c r="I119" i="1" s="1"/>
  <c r="I120" i="1" a="1"/>
  <c r="I120" i="1"/>
  <c r="I121" i="1" a="1"/>
  <c r="I121" i="1" s="1"/>
  <c r="I122" i="1" a="1"/>
  <c r="I122" i="1" s="1"/>
  <c r="I123" i="1" a="1"/>
  <c r="I123" i="1" s="1"/>
  <c r="I124" i="1" a="1"/>
  <c r="I124" i="1" s="1"/>
  <c r="I125" i="1" a="1"/>
  <c r="I125" i="1"/>
  <c r="I126" i="1" a="1"/>
  <c r="I126" i="1" s="1"/>
  <c r="I127" i="1" a="1"/>
  <c r="I127" i="1" s="1"/>
  <c r="I128" i="1" a="1"/>
  <c r="I128" i="1"/>
  <c r="I129" i="1" a="1"/>
  <c r="I129" i="1" s="1"/>
  <c r="I130" i="1" a="1"/>
  <c r="I130" i="1" s="1"/>
  <c r="I131" i="1" a="1"/>
  <c r="I131" i="1" s="1"/>
  <c r="I132" i="1" a="1"/>
  <c r="I132" i="1" s="1"/>
  <c r="I133" i="1" a="1"/>
  <c r="I133" i="1"/>
  <c r="I134" i="1" a="1"/>
  <c r="I134" i="1" s="1"/>
  <c r="I135" i="1" a="1"/>
  <c r="I135" i="1" s="1"/>
  <c r="I136" i="1" a="1"/>
  <c r="I136" i="1"/>
  <c r="I137" i="1" a="1"/>
  <c r="I137" i="1" s="1"/>
  <c r="I138" i="1" a="1"/>
  <c r="I138" i="1" s="1"/>
  <c r="I139" i="1" a="1"/>
  <c r="I139" i="1" s="1"/>
  <c r="I140" i="1" a="1"/>
  <c r="I140" i="1" s="1"/>
  <c r="I141" i="1" a="1"/>
  <c r="I141" i="1"/>
  <c r="I142" i="1" a="1"/>
  <c r="I142" i="1" s="1"/>
  <c r="I143" i="1" a="1"/>
  <c r="I143" i="1" s="1"/>
  <c r="I144" i="1" a="1"/>
  <c r="I144" i="1"/>
  <c r="I145" i="1" a="1"/>
  <c r="I145" i="1" s="1"/>
  <c r="I146" i="1" a="1"/>
  <c r="I146" i="1" s="1"/>
  <c r="I147" i="1" a="1"/>
  <c r="I147" i="1" s="1"/>
  <c r="I148" i="1" a="1"/>
  <c r="I148" i="1" s="1"/>
  <c r="I149" i="1" a="1"/>
  <c r="I149" i="1"/>
  <c r="I150" i="1" a="1"/>
  <c r="I150" i="1" s="1"/>
  <c r="I151" i="1" a="1"/>
  <c r="I151" i="1" s="1"/>
  <c r="I152" i="1" a="1"/>
  <c r="I152" i="1"/>
  <c r="I153" i="1" a="1"/>
  <c r="I153" i="1" s="1"/>
  <c r="I154" i="1" a="1"/>
  <c r="I154" i="1" s="1"/>
  <c r="I155" i="1" a="1"/>
  <c r="I155" i="1" s="1"/>
  <c r="I156" i="1" a="1"/>
  <c r="I156" i="1" s="1"/>
  <c r="I157" i="1" a="1"/>
  <c r="I157" i="1"/>
  <c r="I158" i="1" a="1"/>
  <c r="I158" i="1" s="1"/>
  <c r="I159" i="1" a="1"/>
  <c r="I159" i="1" s="1"/>
  <c r="I160" i="1" a="1"/>
  <c r="I160" i="1"/>
  <c r="I161" i="1" a="1"/>
  <c r="I161" i="1" s="1"/>
  <c r="I162" i="1" a="1"/>
  <c r="I162" i="1" s="1"/>
  <c r="I163" i="1" a="1"/>
  <c r="I163" i="1" s="1"/>
  <c r="I164" i="1" a="1"/>
  <c r="I164" i="1" s="1"/>
  <c r="I165" i="1" a="1"/>
  <c r="I165" i="1"/>
  <c r="I166" i="1" a="1"/>
  <c r="I166" i="1" s="1"/>
  <c r="I167" i="1" a="1"/>
  <c r="I167" i="1" s="1"/>
  <c r="I168" i="1" a="1"/>
  <c r="I168" i="1"/>
  <c r="I169" i="1" a="1"/>
  <c r="I169" i="1" s="1"/>
  <c r="I170" i="1" a="1"/>
  <c r="I170" i="1" s="1"/>
  <c r="I171" i="1" a="1"/>
  <c r="I171" i="1" s="1"/>
  <c r="I172" i="1" a="1"/>
  <c r="I172" i="1" s="1"/>
  <c r="I173" i="1" a="1"/>
  <c r="I173" i="1"/>
  <c r="I174" i="1" a="1"/>
  <c r="I174" i="1" s="1"/>
  <c r="I175" i="1" a="1"/>
  <c r="I175" i="1" s="1"/>
  <c r="I176" i="1" a="1"/>
  <c r="I176" i="1" s="1"/>
  <c r="I177" i="1" a="1"/>
  <c r="I177" i="1" s="1"/>
  <c r="I178" i="1" a="1"/>
  <c r="I178" i="1" s="1"/>
  <c r="I179" i="1" a="1"/>
  <c r="I179" i="1" s="1"/>
  <c r="I180" i="1" a="1"/>
  <c r="I180" i="1" s="1"/>
  <c r="I181" i="1" a="1"/>
  <c r="I181" i="1" s="1"/>
  <c r="I182" i="1" a="1"/>
  <c r="I182" i="1" s="1"/>
  <c r="I183" i="1" a="1"/>
  <c r="I183" i="1" s="1"/>
  <c r="I184" i="1" a="1"/>
  <c r="I184" i="1"/>
  <c r="I185" i="1" a="1"/>
  <c r="I185" i="1" s="1"/>
  <c r="I186" i="1" a="1"/>
  <c r="I186" i="1" s="1"/>
  <c r="I187" i="1" a="1"/>
  <c r="I187" i="1" s="1"/>
  <c r="I188" i="1" a="1"/>
  <c r="I188" i="1" s="1"/>
  <c r="I189" i="1" a="1"/>
  <c r="I189" i="1"/>
  <c r="I190" i="1" a="1"/>
  <c r="I190" i="1" s="1"/>
  <c r="I191" i="1" a="1"/>
  <c r="I191" i="1" s="1"/>
  <c r="I192" i="1" a="1"/>
  <c r="I192" i="1" s="1"/>
  <c r="I193" i="1" a="1"/>
  <c r="I193" i="1" s="1"/>
  <c r="I194" i="1" a="1"/>
  <c r="I194" i="1" s="1"/>
  <c r="I195" i="1" a="1"/>
  <c r="I195" i="1" s="1"/>
  <c r="I196" i="1" a="1"/>
  <c r="I196" i="1" s="1"/>
  <c r="I197" i="1" a="1"/>
  <c r="I197" i="1" s="1"/>
  <c r="I198" i="1" a="1"/>
  <c r="I198" i="1" s="1"/>
  <c r="I199" i="1" a="1"/>
  <c r="I199" i="1" s="1"/>
  <c r="I200" i="1" a="1"/>
  <c r="I200" i="1"/>
  <c r="I201" i="1" a="1"/>
  <c r="I201" i="1" s="1"/>
  <c r="I202" i="1" a="1"/>
  <c r="I202" i="1" s="1"/>
  <c r="I203" i="1" a="1"/>
  <c r="I203" i="1" s="1"/>
  <c r="I204" i="1" a="1"/>
  <c r="I204" i="1" s="1"/>
  <c r="I205" i="1" a="1"/>
  <c r="I205" i="1"/>
  <c r="I206" i="1" a="1"/>
  <c r="I206" i="1" s="1"/>
  <c r="I207" i="1" a="1"/>
  <c r="I207" i="1" s="1"/>
  <c r="I208" i="1" a="1"/>
  <c r="I208" i="1" s="1"/>
  <c r="I209" i="1" a="1"/>
  <c r="I209" i="1" s="1"/>
  <c r="I210" i="1" a="1"/>
  <c r="I210" i="1" s="1"/>
  <c r="I211" i="1" a="1"/>
  <c r="I211" i="1" s="1"/>
  <c r="I212" i="1" a="1"/>
  <c r="I212" i="1" s="1"/>
  <c r="I213" i="1" a="1"/>
  <c r="I213" i="1" s="1"/>
  <c r="I214" i="1" a="1"/>
  <c r="I214" i="1" s="1"/>
  <c r="I215" i="1" a="1"/>
  <c r="I215" i="1" s="1"/>
  <c r="I216" i="1" a="1"/>
  <c r="I216" i="1"/>
  <c r="I217" i="1" a="1"/>
  <c r="I217" i="1" s="1"/>
  <c r="I218" i="1" a="1"/>
  <c r="I218" i="1" s="1"/>
  <c r="I219" i="1" a="1"/>
  <c r="I219" i="1" s="1"/>
  <c r="I220" i="1" a="1"/>
  <c r="I220" i="1" s="1"/>
  <c r="I221" i="1" a="1"/>
  <c r="I221" i="1"/>
  <c r="I222" i="1" a="1"/>
  <c r="I222" i="1" s="1"/>
  <c r="I223" i="1" a="1"/>
  <c r="I223" i="1" s="1"/>
  <c r="I224" i="1" a="1"/>
  <c r="I224" i="1" s="1"/>
  <c r="I225" i="1" a="1"/>
  <c r="I225" i="1" s="1"/>
  <c r="I226" i="1" a="1"/>
  <c r="I226" i="1" s="1"/>
  <c r="I227" i="1" a="1"/>
  <c r="I227" i="1" s="1"/>
  <c r="I228" i="1" a="1"/>
  <c r="I228" i="1" s="1"/>
  <c r="I229" i="1" a="1"/>
  <c r="I229" i="1" s="1"/>
  <c r="I230" i="1" a="1"/>
  <c r="I230" i="1" s="1"/>
  <c r="I231" i="1" a="1"/>
  <c r="I231" i="1" s="1"/>
  <c r="I232" i="1" a="1"/>
  <c r="I232" i="1"/>
  <c r="I233" i="1" a="1"/>
  <c r="I233" i="1" s="1"/>
  <c r="I234" i="1" a="1"/>
  <c r="I234" i="1" s="1"/>
  <c r="I235" i="1" a="1"/>
  <c r="I235" i="1" s="1"/>
  <c r="I236" i="1" a="1"/>
  <c r="I236" i="1" s="1"/>
  <c r="I237" i="1" a="1"/>
  <c r="I237" i="1"/>
  <c r="I238" i="1" a="1"/>
  <c r="I238" i="1" s="1"/>
  <c r="I239" i="1" a="1"/>
  <c r="I239" i="1" s="1"/>
  <c r="I240" i="1" a="1"/>
  <c r="I240" i="1" s="1"/>
  <c r="I241" i="1" a="1"/>
  <c r="I241" i="1" s="1"/>
  <c r="I242" i="1" a="1"/>
  <c r="I242" i="1" s="1"/>
  <c r="I243" i="1" a="1"/>
  <c r="I243" i="1" s="1"/>
  <c r="I244" i="1" a="1"/>
  <c r="I244" i="1" s="1"/>
  <c r="I245" i="1" a="1"/>
  <c r="I245" i="1" s="1"/>
  <c r="I246" i="1" a="1"/>
  <c r="I246" i="1" s="1"/>
  <c r="I247" i="1" a="1"/>
  <c r="I247" i="1" s="1"/>
  <c r="I248" i="1" a="1"/>
  <c r="I248" i="1"/>
  <c r="I249" i="1" a="1"/>
  <c r="I249" i="1" s="1"/>
  <c r="I250" i="1" a="1"/>
  <c r="I250" i="1" s="1"/>
  <c r="I251" i="1" a="1"/>
  <c r="I251" i="1" s="1"/>
  <c r="I252" i="1" a="1"/>
  <c r="I252" i="1" s="1"/>
  <c r="I253" i="1" a="1"/>
  <c r="I253" i="1"/>
  <c r="I254" i="1" a="1"/>
  <c r="I254" i="1" s="1"/>
  <c r="I255" i="1" a="1"/>
  <c r="I255" i="1" s="1"/>
  <c r="I256" i="1" a="1"/>
  <c r="I256" i="1" s="1"/>
  <c r="I257" i="1" a="1"/>
  <c r="I257" i="1" s="1"/>
  <c r="I258" i="1" a="1"/>
  <c r="I258" i="1" s="1"/>
  <c r="I259" i="1" a="1"/>
  <c r="I259" i="1" s="1"/>
  <c r="I260" i="1" a="1"/>
  <c r="I260" i="1" s="1"/>
  <c r="I261" i="1" a="1"/>
  <c r="I261" i="1" s="1"/>
  <c r="I262" i="1" a="1"/>
  <c r="I262" i="1" s="1"/>
  <c r="I263" i="1" a="1"/>
  <c r="I263" i="1" s="1"/>
  <c r="I264" i="1" a="1"/>
  <c r="I264" i="1"/>
  <c r="I265" i="1" a="1"/>
  <c r="I265" i="1" s="1"/>
  <c r="I266" i="1" a="1"/>
  <c r="I266" i="1" s="1"/>
  <c r="I267" i="1" a="1"/>
  <c r="I267" i="1" s="1"/>
  <c r="I268" i="1" a="1"/>
  <c r="I268" i="1" s="1"/>
  <c r="I269" i="1" a="1"/>
  <c r="I269" i="1"/>
  <c r="I270" i="1" a="1"/>
  <c r="I270" i="1" s="1"/>
  <c r="I271" i="1" a="1"/>
  <c r="I271" i="1" s="1"/>
  <c r="I272" i="1" a="1"/>
  <c r="I272" i="1" s="1"/>
  <c r="I273" i="1" a="1"/>
  <c r="I273" i="1" s="1"/>
  <c r="I274" i="1" a="1"/>
  <c r="I274" i="1" s="1"/>
  <c r="I275" i="1" a="1"/>
  <c r="I275" i="1" s="1"/>
  <c r="I276" i="1" a="1"/>
  <c r="I276" i="1" s="1"/>
  <c r="I277" i="1" a="1"/>
  <c r="I277" i="1" s="1"/>
  <c r="I278" i="1" a="1"/>
  <c r="I278" i="1" s="1"/>
  <c r="I279" i="1" a="1"/>
  <c r="I279" i="1" s="1"/>
  <c r="I280" i="1" a="1"/>
  <c r="I280" i="1"/>
  <c r="I281" i="1" a="1"/>
  <c r="I281" i="1" s="1"/>
  <c r="I282" i="1" a="1"/>
  <c r="I282" i="1" s="1"/>
  <c r="I283" i="1" a="1"/>
  <c r="I283" i="1" s="1"/>
  <c r="I284" i="1" a="1"/>
  <c r="I284" i="1" s="1"/>
  <c r="I285" i="1" a="1"/>
  <c r="I285" i="1"/>
  <c r="I286" i="1" a="1"/>
  <c r="I286" i="1" s="1"/>
  <c r="I287" i="1" a="1"/>
  <c r="I287" i="1" s="1"/>
  <c r="I288" i="1" a="1"/>
  <c r="I288" i="1" s="1"/>
  <c r="I289" i="1" a="1"/>
  <c r="I289" i="1" s="1"/>
  <c r="I290" i="1" a="1"/>
  <c r="I290" i="1" s="1"/>
  <c r="I291" i="1" a="1"/>
  <c r="I291" i="1" s="1"/>
  <c r="I292" i="1" a="1"/>
  <c r="I292" i="1" s="1"/>
  <c r="I293" i="1" a="1"/>
  <c r="I293" i="1" s="1"/>
  <c r="I294" i="1" a="1"/>
  <c r="I294" i="1" s="1"/>
  <c r="I295" i="1" a="1"/>
  <c r="I295" i="1" s="1"/>
  <c r="I296" i="1" a="1"/>
  <c r="I296" i="1"/>
  <c r="I297" i="1" a="1"/>
  <c r="I297" i="1" s="1"/>
  <c r="I298" i="1" a="1"/>
  <c r="I298" i="1" s="1"/>
  <c r="I299" i="1" a="1"/>
  <c r="I299" i="1" s="1"/>
  <c r="I300" i="1" a="1"/>
  <c r="I300" i="1" s="1"/>
  <c r="I301" i="1" a="1"/>
  <c r="I301" i="1"/>
  <c r="I302" i="1" a="1"/>
  <c r="I302" i="1" s="1"/>
  <c r="I303" i="1" a="1"/>
  <c r="I303" i="1" s="1"/>
  <c r="I304" i="1" a="1"/>
  <c r="I304" i="1" s="1"/>
  <c r="I305" i="1" a="1"/>
  <c r="I305" i="1" s="1"/>
  <c r="I306" i="1" a="1"/>
  <c r="I306" i="1" s="1"/>
  <c r="I307" i="1" a="1"/>
  <c r="I307" i="1" s="1"/>
  <c r="I308" i="1" a="1"/>
  <c r="I308" i="1" s="1"/>
  <c r="I309" i="1" a="1"/>
  <c r="I309" i="1" s="1"/>
  <c r="I13" i="1" a="1"/>
  <c r="I13" i="1" s="1"/>
  <c r="I12" i="1" a="1"/>
  <c r="I1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<sst xmlns="http://schemas.openxmlformats.org/spreadsheetml/2006/main" count="109" uniqueCount="73">
  <si>
    <t>Cantidad de impresiones</t>
  </si>
  <si>
    <t>4X4</t>
  </si>
  <si>
    <t>4X0</t>
  </si>
  <si>
    <t>Propalcote</t>
  </si>
  <si>
    <t>Rendimiento (gr/m2)</t>
  </si>
  <si>
    <t>Densidad del papel</t>
  </si>
  <si>
    <t>Bond</t>
  </si>
  <si>
    <t>Kimberley</t>
  </si>
  <si>
    <t>CYAN</t>
  </si>
  <si>
    <t>MAGENTA</t>
  </si>
  <si>
    <t>AMARILLO</t>
  </si>
  <si>
    <t>NEGRO</t>
  </si>
  <si>
    <t>Gr tinta</t>
  </si>
  <si>
    <t>% cobertura</t>
  </si>
  <si>
    <t>trama</t>
  </si>
  <si>
    <t>LUMINOSIDADCYAN</t>
  </si>
  <si>
    <t>LUMINOSIDAD MAGENTA</t>
  </si>
  <si>
    <t>LUMINOSIDAD AMARILLO</t>
  </si>
  <si>
    <t>LUMINOSIDAD NEGRO</t>
  </si>
  <si>
    <t>INSTEDU</t>
  </si>
  <si>
    <t>ALMHOG</t>
  </si>
  <si>
    <t>Promalte</t>
  </si>
  <si>
    <t>SI</t>
  </si>
  <si>
    <t>NO</t>
  </si>
  <si>
    <t>OK, SECADO</t>
  </si>
  <si>
    <t>OK,SECADO</t>
  </si>
  <si>
    <t>4X2</t>
  </si>
  <si>
    <t>Autoadhesivo</t>
  </si>
  <si>
    <t>Tamaño de las muestras de inspección de calidad</t>
  </si>
  <si>
    <t>RECALIBRAR</t>
  </si>
  <si>
    <t>AJUSTAR LUM</t>
  </si>
  <si>
    <t>REF. LOTE</t>
  </si>
  <si>
    <t>DEVOLUCIÓN?</t>
  </si>
  <si>
    <t>RECHAZO POST-SECADO?</t>
  </si>
  <si>
    <t>CONTROL HISTÓRICO DE IMPRESIÓN</t>
  </si>
  <si>
    <t>RECHAZO TONALIDAD  IN-SITU?</t>
  </si>
  <si>
    <t>A. PUNTO</t>
  </si>
  <si>
    <t>MATIZ</t>
  </si>
  <si>
    <t>E. CONTRASTE</t>
  </si>
  <si>
    <t>E. GRISADO</t>
  </si>
  <si>
    <t>ATRAPE TINTAS</t>
  </si>
  <si>
    <t>RECHAZO BAJA NITIDEZ?</t>
  </si>
  <si>
    <t>4x4</t>
  </si>
  <si>
    <t>% trama cyan</t>
  </si>
  <si>
    <t>% trama magenta</t>
  </si>
  <si>
    <t>% trama amarillo</t>
  </si>
  <si>
    <t>% trama negro</t>
  </si>
  <si>
    <t>Ganancia de punto</t>
  </si>
  <si>
    <t>Contraste promedio</t>
  </si>
  <si>
    <t>E. matiz</t>
  </si>
  <si>
    <t>E. grises</t>
  </si>
  <si>
    <t>% atrape tintas</t>
  </si>
  <si>
    <t>Parámetros de calidad</t>
  </si>
  <si>
    <t>PPM&gt;USL</t>
  </si>
  <si>
    <t>PPM&lt;LSL</t>
  </si>
  <si>
    <t>Capacidad largo plazo</t>
  </si>
  <si>
    <t>Capacidad corto plazo</t>
  </si>
  <si>
    <t>Nivel Sigma base</t>
  </si>
  <si>
    <t xml:space="preserve">Nivel Sigma proyectado bajo mejora </t>
  </si>
  <si>
    <t>% impresiones defectuosas</t>
  </si>
  <si>
    <t>-</t>
  </si>
  <si>
    <t>Ref.</t>
  </si>
  <si>
    <t>Batch ref.</t>
  </si>
  <si>
    <t>Format color nxm</t>
  </si>
  <si>
    <t>Width (m)</t>
  </si>
  <si>
    <t>Height (m)</t>
  </si>
  <si>
    <t>Paper type</t>
  </si>
  <si>
    <t>Weight(gr)</t>
  </si>
  <si>
    <t>QA Approved?</t>
  </si>
  <si>
    <t>Following actions</t>
  </si>
  <si>
    <t>SCREEN CALIBRATION</t>
  </si>
  <si>
    <t>SHARPNESS CALIBRATION</t>
  </si>
  <si>
    <t>INSERT COMPANY LOGO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</si>
</sst>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b/>
      <sz val="28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9D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55ED5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theme="9" tint="-0.249977111117893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0" xfId="0" applyFont="1" applyFill="1"/>
    <xf numFmtId="0" fontId="1" fillId="2" borderId="1" xfId="0" applyFont="1" applyFill="1" applyBorder="1" applyAlignment="1">
      <alignment vertical="top" wrapText="1"/>
    </xf>
    <xf numFmtId="0" fontId="2" fillId="2" borderId="0" xfId="0" applyFont="1" applyFill="1"/>
    <xf numFmtId="0" fontId="2" fillId="2" borderId="1" xfId="0" applyFont="1" applyFill="1" applyBorder="1" applyAlignment="1">
      <alignment wrapText="1"/>
    </xf>
    <xf numFmtId="0" fontId="0" fillId="3" borderId="0" xfId="0" applyFill="1"/>
    <xf numFmtId="0" fontId="0" fillId="3" borderId="1" xfId="0" applyFill="1" applyBorder="1"/>
    <xf numFmtId="0" fontId="3" fillId="4" borderId="1" xfId="0" applyFont="1" applyFill="1" applyBorder="1"/>
    <xf numFmtId="0" fontId="0" fillId="5" borderId="0" xfId="0" applyFill="1"/>
    <xf numFmtId="0" fontId="0" fillId="6" borderId="0" xfId="0" applyFill="1"/>
    <xf numFmtId="0" fontId="0" fillId="5" borderId="1" xfId="0" applyFill="1" applyBorder="1"/>
    <xf numFmtId="0" fontId="0" fillId="6" borderId="1" xfId="0" applyFill="1" applyBorder="1"/>
    <xf numFmtId="0" fontId="3" fillId="7" borderId="1" xfId="0" applyFont="1" applyFill="1" applyBorder="1"/>
    <xf numFmtId="0" fontId="0" fillId="4" borderId="1" xfId="0" applyFill="1" applyBorder="1"/>
    <xf numFmtId="0" fontId="0" fillId="4" borderId="0" xfId="0" applyFill="1"/>
    <xf numFmtId="0" fontId="0" fillId="0" borderId="1" xfId="0" applyBorder="1"/>
    <xf numFmtId="0" fontId="1" fillId="8" borderId="1" xfId="0" applyFont="1" applyFill="1" applyBorder="1" applyAlignment="1">
      <alignment vertical="top" wrapText="1"/>
    </xf>
    <xf numFmtId="0" fontId="1" fillId="8" borderId="1" xfId="0" applyFont="1" applyFill="1" applyBorder="1" applyAlignment="1">
      <alignment horizontal="left" vertical="top" wrapText="1"/>
    </xf>
    <xf numFmtId="0" fontId="0" fillId="9" borderId="1" xfId="0" applyFill="1" applyBorder="1"/>
    <xf numFmtId="0" fontId="0" fillId="10" borderId="1" xfId="0" applyFill="1" applyBorder="1"/>
    <xf numFmtId="0" fontId="3" fillId="2" borderId="3" xfId="0" applyFont="1" applyFill="1" applyBorder="1"/>
    <xf numFmtId="0" fontId="5" fillId="2" borderId="3" xfId="0" applyFont="1" applyFill="1" applyBorder="1"/>
    <xf numFmtId="0" fontId="5" fillId="0" borderId="3" xfId="0" applyFont="1" applyBorder="1"/>
    <xf numFmtId="0" fontId="0" fillId="2" borderId="3" xfId="0" applyFill="1" applyBorder="1"/>
    <xf numFmtId="0" fontId="7" fillId="2" borderId="3" xfId="0" applyFont="1" applyFill="1" applyBorder="1"/>
    <xf numFmtId="0" fontId="3" fillId="7" borderId="4" xfId="0" applyFont="1" applyFill="1" applyBorder="1"/>
    <xf numFmtId="0" fontId="0" fillId="3" borderId="4" xfId="0" applyFill="1" applyBorder="1"/>
    <xf numFmtId="0" fontId="0" fillId="3" borderId="3" xfId="0" applyFill="1" applyBorder="1"/>
    <xf numFmtId="0" fontId="0" fillId="0" borderId="3" xfId="0" applyBorder="1"/>
    <xf numFmtId="0" fontId="2" fillId="3" borderId="3" xfId="0" applyFont="1" applyFill="1" applyBorder="1"/>
    <xf numFmtId="0" fontId="8" fillId="3" borderId="3" xfId="0" applyFont="1" applyFill="1" applyBorder="1"/>
    <xf numFmtId="0" fontId="8" fillId="0" borderId="3" xfId="0" applyFont="1" applyBorder="1"/>
    <xf numFmtId="0" fontId="8" fillId="3" borderId="6" xfId="0" applyFont="1" applyFill="1" applyBorder="1"/>
    <xf numFmtId="0" fontId="8" fillId="3" borderId="5" xfId="0" applyFont="1" applyFill="1" applyBorder="1"/>
    <xf numFmtId="0" fontId="8" fillId="3" borderId="7" xfId="0" applyFont="1" applyFill="1" applyBorder="1"/>
    <xf numFmtId="0" fontId="9" fillId="3" borderId="3" xfId="0" applyFont="1" applyFill="1" applyBorder="1"/>
    <xf numFmtId="0" fontId="2" fillId="3" borderId="8" xfId="0" applyFont="1" applyFill="1" applyBorder="1"/>
    <xf numFmtId="0" fontId="0" fillId="0" borderId="8" xfId="0" applyBorder="1"/>
    <xf numFmtId="0" fontId="0" fillId="3" borderId="8" xfId="0" applyFill="1" applyBorder="1"/>
    <xf numFmtId="0" fontId="0" fillId="11" borderId="10" xfId="0" applyFill="1" applyBorder="1"/>
    <xf numFmtId="0" fontId="0" fillId="5" borderId="10" xfId="0" applyFill="1" applyBorder="1"/>
    <xf numFmtId="0" fontId="0" fillId="6" borderId="10" xfId="0" applyFill="1" applyBorder="1"/>
    <xf numFmtId="0" fontId="0" fillId="12" borderId="10" xfId="0" applyFill="1" applyBorder="1"/>
    <xf numFmtId="0" fontId="0" fillId="12" borderId="11" xfId="0" applyFill="1" applyBorder="1"/>
    <xf numFmtId="0" fontId="0" fillId="3" borderId="12" xfId="0" applyFill="1" applyBorder="1"/>
    <xf numFmtId="0" fontId="8" fillId="3" borderId="12" xfId="0" applyFont="1" applyFill="1" applyBorder="1"/>
    <xf numFmtId="0" fontId="8" fillId="3" borderId="0" xfId="0" applyFont="1" applyFill="1"/>
    <xf numFmtId="0" fontId="8" fillId="0" borderId="0" xfId="0" applyFont="1"/>
    <xf numFmtId="0" fontId="8" fillId="10" borderId="3" xfId="0" applyFont="1" applyFill="1" applyBorder="1"/>
    <xf numFmtId="0" fontId="0" fillId="10" borderId="0" xfId="0" applyFill="1"/>
    <xf numFmtId="0" fontId="9" fillId="3" borderId="8" xfId="0" applyFont="1" applyFill="1" applyBorder="1"/>
    <xf numFmtId="0" fontId="8" fillId="3" borderId="8" xfId="0" applyFont="1" applyFill="1" applyBorder="1"/>
    <xf numFmtId="0" fontId="8" fillId="10" borderId="13" xfId="0" applyFont="1" applyFill="1" applyBorder="1"/>
    <xf numFmtId="0" fontId="9" fillId="10" borderId="10" xfId="0" applyFont="1" applyFill="1" applyBorder="1"/>
    <xf numFmtId="0" fontId="8" fillId="10" borderId="10" xfId="0" applyFont="1" applyFill="1" applyBorder="1"/>
    <xf numFmtId="0" fontId="10" fillId="0" borderId="1" xfId="0" applyFont="1" applyBorder="1"/>
    <xf numFmtId="10" fontId="10" fillId="0" borderId="1" xfId="0" applyNumberFormat="1" applyFont="1" applyBorder="1"/>
    <xf numFmtId="0" fontId="10" fillId="0" borderId="1" xfId="0" quotePrefix="1" applyFont="1" applyBorder="1"/>
    <xf numFmtId="0" fontId="11" fillId="13" borderId="1" xfId="0" applyFont="1" applyFill="1" applyBorder="1"/>
    <xf numFmtId="0" fontId="11" fillId="13" borderId="1" xfId="0" applyFont="1" applyFill="1" applyBorder="1" applyAlignment="1">
      <alignment wrapText="1"/>
    </xf>
    <xf numFmtId="0" fontId="10" fillId="14" borderId="1" xfId="0" applyFont="1" applyFill="1" applyBorder="1" applyAlignment="1">
      <alignment wrapText="1"/>
    </xf>
    <xf numFmtId="0" fontId="10" fillId="15" borderId="1" xfId="0" applyFont="1" applyFill="1" applyBorder="1" applyAlignment="1">
      <alignment wrapText="1"/>
    </xf>
    <xf numFmtId="0" fontId="10" fillId="16" borderId="1" xfId="0" applyFont="1" applyFill="1" applyBorder="1"/>
    <xf numFmtId="0" fontId="10" fillId="17" borderId="1" xfId="0" applyFont="1" applyFill="1" applyBorder="1"/>
    <xf numFmtId="0" fontId="6" fillId="9" borderId="2" xfId="0" applyFont="1" applyFill="1" applyBorder="1" applyAlignment="1">
      <alignment vertical="top" wrapText="1"/>
    </xf>
    <xf numFmtId="0" fontId="1" fillId="9" borderId="1" xfId="0" applyFont="1" applyFill="1" applyBorder="1" applyAlignment="1">
      <alignment vertical="center" wrapText="1"/>
    </xf>
    <xf numFmtId="0" fontId="10" fillId="14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6" xfId="0" applyBorder="1" applyAlignment="1">
      <alignment horizontal="center"/>
    </xf>
    <xf numFmtId="0" fontId="1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5ED59"/>
      <color rgb="FFF59D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2</xdr:row>
          <xdr:rowOff>45720</xdr:rowOff>
        </xdr:from>
        <xdr:to>
          <xdr:col>11</xdr:col>
          <xdr:colOff>739140</xdr:colOff>
          <xdr:row>4</xdr:row>
          <xdr:rowOff>30480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BEGIN BATCH SCREEN CALIBRATION -CLICK HERE-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487680</xdr:colOff>
          <xdr:row>2</xdr:row>
          <xdr:rowOff>45720</xdr:rowOff>
        </xdr:from>
        <xdr:to>
          <xdr:col>17</xdr:col>
          <xdr:colOff>510540</xdr:colOff>
          <xdr:row>4</xdr:row>
          <xdr:rowOff>53340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BEGIN LUMINOUS INTENSITIES CONTROL -CLICK HERE-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H310"/>
  <sheetViews>
    <sheetView tabSelected="1" defaultGridColor="0" colorId="12" zoomScale="70" zoomScaleNormal="70" workbookViewId="0">
      <selection activeCell="S8" sqref="S8"/>
    </sheetView>
  </sheetViews>
  <sheetFormatPr defaultRowHeight="14.4" x14ac:dyDescent="0.3"/>
  <cols>
    <col min="1" max="1" width="9.88671875" customWidth="1"/>
    <col min="2" max="2" width="11.88671875" customWidth="1"/>
    <col min="3" max="3" width="13.5546875" customWidth="1"/>
    <col min="4" max="4" width="13.109375" customWidth="1"/>
    <col min="5" max="5" width="11.21875" customWidth="1"/>
    <col min="6" max="6" width="9.5546875" customWidth="1"/>
    <col min="8" max="8" width="13.5546875" customWidth="1"/>
    <col min="9" max="9" width="0.109375" customWidth="1"/>
    <col min="10" max="10" width="0.5546875" hidden="1" customWidth="1"/>
    <col min="11" max="11" width="7" customWidth="1"/>
    <col min="12" max="12" width="15.5546875" customWidth="1"/>
    <col min="13" max="13" width="11.44140625" customWidth="1"/>
    <col min="16" max="16" width="16.109375" bestFit="1" customWidth="1"/>
  </cols>
  <sheetData>
    <row r="1" spans="1:138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</row>
    <row r="2" spans="1:138" x14ac:dyDescent="0.3">
      <c r="A2" s="3"/>
      <c r="B2" s="1"/>
      <c r="C2" s="1"/>
      <c r="D2" s="1"/>
      <c r="E2" s="1"/>
      <c r="F2" s="1"/>
      <c r="G2" s="1"/>
      <c r="H2" s="5" t="s">
        <v>70</v>
      </c>
      <c r="I2" s="1"/>
      <c r="J2" s="1"/>
      <c r="K2" s="1"/>
      <c r="L2" s="1"/>
      <c r="M2" s="1"/>
      <c r="N2" s="5" t="s">
        <v>71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</row>
    <row r="3" spans="1:138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</row>
    <row r="4" spans="1:138" ht="36.6" x14ac:dyDescent="0.7">
      <c r="A4" s="73" t="s">
        <v>72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</row>
    <row r="5" spans="1:138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</row>
    <row r="6" spans="1:138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</row>
    <row r="7" spans="1:138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</row>
    <row r="8" spans="1:138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</row>
    <row r="9" spans="1:138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</row>
    <row r="10" spans="1:138" ht="20.399999999999999" customHeigh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Q10" s="1"/>
      <c r="R10" s="1"/>
      <c r="S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</row>
    <row r="11" spans="1:138" ht="55.2" customHeight="1" x14ac:dyDescent="0.3">
      <c r="A11" s="18" t="s">
        <v>61</v>
      </c>
      <c r="B11" s="19" t="s">
        <v>62</v>
      </c>
      <c r="C11" s="18" t="s">
        <v>0</v>
      </c>
      <c r="D11" s="18" t="s">
        <v>63</v>
      </c>
      <c r="E11" s="18" t="s">
        <v>64</v>
      </c>
      <c r="F11" s="18" t="s">
        <v>65</v>
      </c>
      <c r="G11" s="18" t="s">
        <v>66</v>
      </c>
      <c r="H11" s="18" t="s">
        <v>67</v>
      </c>
      <c r="I11" s="4" t="s">
        <v>4</v>
      </c>
      <c r="J11" s="6" t="s">
        <v>5</v>
      </c>
      <c r="K11" s="1"/>
      <c r="L11" s="4" t="s">
        <v>28</v>
      </c>
      <c r="M11" s="67" t="s">
        <v>68</v>
      </c>
      <c r="O11" s="1"/>
      <c r="P11" s="66" t="s">
        <v>69</v>
      </c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</row>
    <row r="12" spans="1:138" x14ac:dyDescent="0.3">
      <c r="A12" s="2" t="s">
        <v>19</v>
      </c>
      <c r="B12" s="2">
        <v>8986</v>
      </c>
      <c r="C12" s="2">
        <v>1000</v>
      </c>
      <c r="D12" s="2" t="s">
        <v>1</v>
      </c>
      <c r="E12" s="2">
        <v>0.23</v>
      </c>
      <c r="F12" s="2">
        <v>0.28000000000000003</v>
      </c>
      <c r="G12" s="2" t="s">
        <v>3</v>
      </c>
      <c r="H12" s="2">
        <v>90</v>
      </c>
      <c r="I12" s="2" cm="1">
        <f t="array" ref="I12">_xlfn.IFS(H12=115,2,H12=150,2,H12=200,1.5,H12=240,1.5,H12=90,2.2)</f>
        <v>2.2000000000000002</v>
      </c>
      <c r="J12" s="2" cm="1">
        <f t="array" ref="J12">+_xlfn.IFS(H12=115,AVERAGE(1.49,1.5,1.05,1.7),H12=150,AVERAGE(1.49,1.5,1.05,1.7),H12=200,AVERAGE(1.15,1.15,0.9,1.3),H12=240,AVERAGE(1.15,1.15,0.9,1.3),H12=90,AVERAGE(1.15,1.15,0.9,1.3))</f>
        <v>1.125</v>
      </c>
      <c r="K12" s="1"/>
      <c r="L12" s="2">
        <v>250</v>
      </c>
      <c r="M12" s="20" t="s">
        <v>22</v>
      </c>
      <c r="O12" s="1"/>
      <c r="P12" s="22" t="s">
        <v>24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</row>
    <row r="13" spans="1:138" x14ac:dyDescent="0.3">
      <c r="A13" s="2" t="s">
        <v>20</v>
      </c>
      <c r="B13" s="2">
        <v>8987</v>
      </c>
      <c r="C13" s="2">
        <v>1500</v>
      </c>
      <c r="D13" s="2" t="s">
        <v>2</v>
      </c>
      <c r="E13" s="2">
        <v>0.1726</v>
      </c>
      <c r="F13" s="2">
        <v>0.35</v>
      </c>
      <c r="G13" s="2" t="s">
        <v>6</v>
      </c>
      <c r="H13" s="2">
        <v>150</v>
      </c>
      <c r="I13" s="2" cm="1">
        <f t="array" ref="I13">_xlfn.IFS(H13=115,2,H13=150,2,H13=200,1.5,H13=240,1.5,H13=90,2.2)</f>
        <v>2</v>
      </c>
      <c r="J13" s="2" cm="1">
        <f t="array" ref="J13">+_xlfn.IFS(H13=115,AVERAGE(1.49,1.5,1.05,1.7),H13=150,AVERAGE(1.49,1.5,1.05,1.7),H13=200,AVERAGE(1.15,1.15,0.9,1.3),H13=240,AVERAGE(1.15,1.15,0.9,1.3),H13=90,AVERAGE(1.15,1.15,0.9,1.3))</f>
        <v>1.4350000000000001</v>
      </c>
      <c r="K13" s="1"/>
      <c r="L13" s="2">
        <v>500</v>
      </c>
      <c r="M13" s="20" t="s">
        <v>22</v>
      </c>
      <c r="O13" s="1"/>
      <c r="P13" s="22" t="s">
        <v>25</v>
      </c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</row>
    <row r="14" spans="1:138" x14ac:dyDescent="0.3">
      <c r="A14" s="2" t="s">
        <v>20</v>
      </c>
      <c r="B14" s="2">
        <v>8989</v>
      </c>
      <c r="C14" s="2">
        <v>3500</v>
      </c>
      <c r="D14" s="2" t="s">
        <v>26</v>
      </c>
      <c r="E14" s="2">
        <v>0.14499999999999999</v>
      </c>
      <c r="F14" s="2">
        <v>0.17960000000000001</v>
      </c>
      <c r="G14" s="2" t="s">
        <v>7</v>
      </c>
      <c r="H14" s="2">
        <v>115</v>
      </c>
      <c r="I14" s="2" cm="1">
        <f t="array" ref="I14">_xlfn.IFS(H14=115,2,H14=150,2,H14=200,1.5,H14=240,1.5,H14=90,2.2)</f>
        <v>2</v>
      </c>
      <c r="J14" s="2" cm="1">
        <f t="array" ref="J14">+_xlfn.IFS(H14=115,AVERAGE(1.49,1.5,1.05,1.7),H14=150,AVERAGE(1.49,1.5,1.05,1.7),H14=200,AVERAGE(1.15,1.15,0.9,1.3),H14=240,AVERAGE(1.15,1.15,0.9,1.3),H14=90,AVERAGE(1.15,1.15,0.9,1.3))</f>
        <v>1.4350000000000001</v>
      </c>
      <c r="K14" s="1"/>
      <c r="L14" s="2">
        <v>1000</v>
      </c>
      <c r="M14" s="21" t="s">
        <v>23</v>
      </c>
      <c r="N14" s="1"/>
      <c r="O14" s="1"/>
      <c r="P14" s="26" t="s">
        <v>30</v>
      </c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</row>
    <row r="15" spans="1:138" x14ac:dyDescent="0.3">
      <c r="A15" s="2" t="s">
        <v>20</v>
      </c>
      <c r="B15" s="2">
        <v>8991</v>
      </c>
      <c r="C15" s="2">
        <v>45878</v>
      </c>
      <c r="D15" s="2" t="s">
        <v>1</v>
      </c>
      <c r="E15" s="2">
        <v>0.23</v>
      </c>
      <c r="F15" s="2">
        <v>0.28000000000000003</v>
      </c>
      <c r="G15" s="2" t="s">
        <v>27</v>
      </c>
      <c r="H15" s="2">
        <v>115</v>
      </c>
      <c r="I15" s="2" cm="1">
        <f t="array" ref="I15">_xlfn.IFS(H15=115,2,H15=150,2,H15=200,1.5,H15=240,1.5,H15=90,2.2)</f>
        <v>2</v>
      </c>
      <c r="J15" s="2" cm="1">
        <f t="array" ref="J15">+_xlfn.IFS(H15=115,AVERAGE(1.49,1.5,1.05,1.7),H15=150,AVERAGE(1.49,1.5,1.05,1.7),H15=200,AVERAGE(1.15,1.15,0.9,1.3),H15=240,AVERAGE(1.15,1.15,0.9,1.3),H15=90,AVERAGE(1.15,1.15,0.9,1.3))</f>
        <v>1.4350000000000001</v>
      </c>
      <c r="K15" s="1"/>
      <c r="L15" s="2">
        <v>250</v>
      </c>
      <c r="M15" s="20" t="s">
        <v>22</v>
      </c>
      <c r="N15" s="1"/>
      <c r="O15" s="1"/>
      <c r="P15" s="22" t="s">
        <v>24</v>
      </c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</row>
    <row r="16" spans="1:138" x14ac:dyDescent="0.3">
      <c r="A16" s="2" t="s">
        <v>19</v>
      </c>
      <c r="B16" s="2">
        <v>8995</v>
      </c>
      <c r="C16" s="2">
        <v>4500</v>
      </c>
      <c r="D16" s="2" t="s">
        <v>2</v>
      </c>
      <c r="E16" s="2">
        <v>0.23</v>
      </c>
      <c r="F16" s="2">
        <v>0.28000000000000003</v>
      </c>
      <c r="G16" s="2" t="s">
        <v>21</v>
      </c>
      <c r="H16" s="2">
        <v>115</v>
      </c>
      <c r="I16" s="2" cm="1">
        <f t="array" ref="I16">_xlfn.IFS(H16=115,2,H16=150,2,H16=200,1.5,H16=240,1.5,H16=90,2.2)</f>
        <v>2</v>
      </c>
      <c r="J16" s="2" cm="1">
        <f t="array" ref="J16">+_xlfn.IFS(H16=115,AVERAGE(1.49,1.5,1.05,1.7),H16=150,AVERAGE(1.49,1.5,1.05,1.7),H16=200,AVERAGE(1.15,1.15,0.9,1.3),H16=240,AVERAGE(1.15,1.15,0.9,1.3),H16=90,AVERAGE(1.15,1.15,0.9,1.3))</f>
        <v>1.4350000000000001</v>
      </c>
      <c r="K16" s="1"/>
      <c r="L16" s="2">
        <v>500</v>
      </c>
      <c r="M16" s="21" t="s">
        <v>23</v>
      </c>
      <c r="N16" s="1"/>
      <c r="O16" s="1"/>
      <c r="P16" s="26" t="s">
        <v>29</v>
      </c>
      <c r="Q16" s="1"/>
      <c r="S16" s="1"/>
      <c r="T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</row>
    <row r="17" spans="1:138" x14ac:dyDescent="0.3">
      <c r="A17" s="2" t="s">
        <v>19</v>
      </c>
      <c r="B17" s="2">
        <v>8996</v>
      </c>
      <c r="C17" s="2">
        <v>1500</v>
      </c>
      <c r="D17" s="2" t="s">
        <v>42</v>
      </c>
      <c r="E17" s="2">
        <v>0.23</v>
      </c>
      <c r="F17" s="2">
        <v>0.28000000000000003</v>
      </c>
      <c r="G17" s="2" t="s">
        <v>3</v>
      </c>
      <c r="H17" s="2">
        <v>115</v>
      </c>
      <c r="I17" s="2" cm="1">
        <f t="array" ref="I17">_xlfn.IFS(H17=115,2,H17=150,2,H17=200,1.5,H17=240,1.5,H17=90,2.2)</f>
        <v>2</v>
      </c>
      <c r="J17" s="2" cm="1">
        <f t="array" ref="J17">+_xlfn.IFS(H17=115,AVERAGE(1.49,1.5,1.05,1.7),H17=150,AVERAGE(1.49,1.5,1.05,1.7),H17=200,AVERAGE(1.15,1.15,0.9,1.3),H17=240,AVERAGE(1.15,1.15,0.9,1.3),H17=90,AVERAGE(1.15,1.15,0.9,1.3))</f>
        <v>1.4350000000000001</v>
      </c>
      <c r="K17" s="1"/>
      <c r="L17" s="2"/>
      <c r="M17" s="20"/>
      <c r="N17" s="1"/>
      <c r="O17" s="1"/>
      <c r="P17" s="23"/>
      <c r="Q17" s="1"/>
      <c r="R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</row>
    <row r="18" spans="1:138" x14ac:dyDescent="0.3">
      <c r="A18" s="2"/>
      <c r="B18" s="2"/>
      <c r="C18" s="2"/>
      <c r="D18" s="2"/>
      <c r="E18" s="2"/>
      <c r="F18" s="2"/>
      <c r="G18" s="2"/>
      <c r="H18" s="2">
        <v>115</v>
      </c>
      <c r="I18" s="2" cm="1">
        <f t="array" ref="I18">_xlfn.IFS(H18=115,2,H18=150,2,H18=200,1.5,H18=240,1.5,H18=90,2.2)</f>
        <v>2</v>
      </c>
      <c r="J18" s="2" cm="1">
        <f t="array" ref="J18">+_xlfn.IFS(H18=115,AVERAGE(1.49,1.5,1.05,1.7),H18=150,AVERAGE(1.49,1.5,1.05,1.7),H18=200,AVERAGE(1.15,1.15,0.9,1.3),H18=240,AVERAGE(1.15,1.15,0.9,1.3),H18=90,AVERAGE(1.15,1.15,0.9,1.3))</f>
        <v>1.4350000000000001</v>
      </c>
      <c r="K18" s="1"/>
      <c r="L18" s="2"/>
      <c r="M18" s="20"/>
      <c r="N18" s="1"/>
      <c r="O18" s="1"/>
      <c r="P18" s="23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</row>
    <row r="19" spans="1:138" x14ac:dyDescent="0.3">
      <c r="A19" s="2"/>
      <c r="B19" s="2"/>
      <c r="C19" s="2"/>
      <c r="D19" s="2"/>
      <c r="E19" s="2"/>
      <c r="F19" s="2"/>
      <c r="G19" s="2"/>
      <c r="H19" s="2">
        <v>115</v>
      </c>
      <c r="I19" s="2" cm="1">
        <f t="array" ref="I19">_xlfn.IFS(H19=115,2,H19=150,2,H19=200,1.5,H19=240,1.5,H19=90,2.2)</f>
        <v>2</v>
      </c>
      <c r="J19" s="2" cm="1">
        <f t="array" ref="J19">+_xlfn.IFS(H19=115,AVERAGE(1.49,1.5,1.05,1.7),H19=150,AVERAGE(1.49,1.5,1.05,1.7),H19=200,AVERAGE(1.15,1.15,0.9,1.3),H19=240,AVERAGE(1.15,1.15,0.9,1.3),H19=90,AVERAGE(1.15,1.15,0.9,1.3))</f>
        <v>1.4350000000000001</v>
      </c>
      <c r="K19" s="1"/>
      <c r="L19" s="2"/>
      <c r="M19" s="20"/>
      <c r="N19" s="1"/>
      <c r="O19" s="1"/>
      <c r="P19" s="23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</row>
    <row r="20" spans="1:138" x14ac:dyDescent="0.3">
      <c r="A20" s="2"/>
      <c r="B20" s="2"/>
      <c r="C20" s="2"/>
      <c r="D20" s="2"/>
      <c r="E20" s="2"/>
      <c r="F20" s="2"/>
      <c r="G20" s="2"/>
      <c r="H20" s="2">
        <v>115</v>
      </c>
      <c r="I20" s="2" cm="1">
        <f t="array" ref="I20">_xlfn.IFS(H20=115,2,H20=150,2,H20=200,1.5,H20=240,1.5,H20=90,2.2)</f>
        <v>2</v>
      </c>
      <c r="J20" s="2" cm="1">
        <f t="array" ref="J20">+_xlfn.IFS(H20=115,AVERAGE(1.49,1.5,1.05,1.7),H20=150,AVERAGE(1.49,1.5,1.05,1.7),H20=200,AVERAGE(1.15,1.15,0.9,1.3),H20=240,AVERAGE(1.15,1.15,0.9,1.3),H20=90,AVERAGE(1.15,1.15,0.9,1.3))</f>
        <v>1.4350000000000001</v>
      </c>
      <c r="K20" s="1"/>
      <c r="L20" s="2"/>
      <c r="M20" s="20"/>
      <c r="N20" s="1"/>
      <c r="O20" s="1"/>
      <c r="P20" s="24"/>
      <c r="Q20" s="1"/>
      <c r="R20" s="1"/>
      <c r="S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</row>
    <row r="21" spans="1:138" x14ac:dyDescent="0.3">
      <c r="A21" s="2"/>
      <c r="B21" s="2"/>
      <c r="C21" s="2"/>
      <c r="D21" s="2"/>
      <c r="E21" s="2"/>
      <c r="F21" s="2"/>
      <c r="G21" s="2"/>
      <c r="H21" s="2">
        <v>115</v>
      </c>
      <c r="I21" s="2" cm="1">
        <f t="array" ref="I21">_xlfn.IFS(H21=115,2,H21=150,2,H21=200,1.5,H21=240,1.5,H21=90,2.2)</f>
        <v>2</v>
      </c>
      <c r="J21" s="2" cm="1">
        <f t="array" ref="J21">+_xlfn.IFS(H21=115,AVERAGE(1.49,1.5,1.05,1.7),H21=150,AVERAGE(1.49,1.5,1.05,1.7),H21=200,AVERAGE(1.15,1.15,0.9,1.3),H21=240,AVERAGE(1.15,1.15,0.9,1.3),H21=90,AVERAGE(1.15,1.15,0.9,1.3))</f>
        <v>1.4350000000000001</v>
      </c>
      <c r="K21" s="1"/>
      <c r="L21" s="2"/>
      <c r="M21" s="20"/>
      <c r="N21" s="1"/>
      <c r="O21" s="1"/>
      <c r="P21" s="23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</row>
    <row r="22" spans="1:138" x14ac:dyDescent="0.3">
      <c r="A22" s="2"/>
      <c r="B22" s="2"/>
      <c r="C22" s="2"/>
      <c r="D22" s="2"/>
      <c r="E22" s="2"/>
      <c r="F22" s="2"/>
      <c r="G22" s="2"/>
      <c r="H22" s="2">
        <v>115</v>
      </c>
      <c r="I22" s="2" cm="1">
        <f t="array" ref="I22">_xlfn.IFS(H22=115,2,H22=150,2,H22=200,1.5,H22=240,1.5,H22=90,2.2)</f>
        <v>2</v>
      </c>
      <c r="J22" s="2" cm="1">
        <f t="array" ref="J22">+_xlfn.IFS(H22=115,AVERAGE(1.49,1.5,1.05,1.7),H22=150,AVERAGE(1.49,1.5,1.05,1.7),H22=200,AVERAGE(1.15,1.15,0.9,1.3),H22=240,AVERAGE(1.15,1.15,0.9,1.3),H22=90,AVERAGE(1.15,1.15,0.9,1.3))</f>
        <v>1.4350000000000001</v>
      </c>
      <c r="K22" s="1"/>
      <c r="L22" s="2"/>
      <c r="M22" s="20"/>
      <c r="N22" s="1"/>
      <c r="O22" s="1"/>
      <c r="P22" s="23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</row>
    <row r="23" spans="1:138" x14ac:dyDescent="0.3">
      <c r="A23" s="2"/>
      <c r="B23" s="2"/>
      <c r="C23" s="2"/>
      <c r="D23" s="2"/>
      <c r="E23" s="2"/>
      <c r="F23" s="2"/>
      <c r="G23" s="2"/>
      <c r="H23" s="2">
        <v>115</v>
      </c>
      <c r="I23" s="2" cm="1">
        <f t="array" ref="I23">_xlfn.IFS(H23=115,2,H23=150,2,H23=200,1.5,H23=240,1.5,H23=90,2.2)</f>
        <v>2</v>
      </c>
      <c r="J23" s="2" cm="1">
        <f t="array" ref="J23">+_xlfn.IFS(H23=115,AVERAGE(1.49,1.5,1.05,1.7),H23=150,AVERAGE(1.49,1.5,1.05,1.7),H23=200,AVERAGE(1.15,1.15,0.9,1.3),H23=240,AVERAGE(1.15,1.15,0.9,1.3),H23=90,AVERAGE(1.15,1.15,0.9,1.3))</f>
        <v>1.4350000000000001</v>
      </c>
      <c r="K23" s="1"/>
      <c r="L23" s="2"/>
      <c r="M23" s="20"/>
      <c r="N23" s="1"/>
      <c r="O23" s="1"/>
      <c r="P23" s="23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</row>
    <row r="24" spans="1:138" x14ac:dyDescent="0.3">
      <c r="A24" s="2"/>
      <c r="B24" s="2"/>
      <c r="C24" s="2"/>
      <c r="D24" s="2"/>
      <c r="E24" s="2"/>
      <c r="F24" s="2"/>
      <c r="G24" s="2"/>
      <c r="H24" s="2">
        <v>115</v>
      </c>
      <c r="I24" s="2" cm="1">
        <f t="array" ref="I24">_xlfn.IFS(H24=115,2,H24=150,2,H24=200,1.5,H24=240,1.5,H24=90,2.2)</f>
        <v>2</v>
      </c>
      <c r="J24" s="2" cm="1">
        <f t="array" ref="J24">+_xlfn.IFS(H24=115,AVERAGE(1.49,1.5,1.05,1.7),H24=150,AVERAGE(1.49,1.5,1.05,1.7),H24=200,AVERAGE(1.15,1.15,0.9,1.3),H24=240,AVERAGE(1.15,1.15,0.9,1.3),H24=90,AVERAGE(1.15,1.15,0.9,1.3))</f>
        <v>1.4350000000000001</v>
      </c>
      <c r="K24" s="1"/>
      <c r="L24" s="2"/>
      <c r="M24" s="20"/>
      <c r="N24" s="1"/>
      <c r="O24" s="1"/>
      <c r="P24" s="23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</row>
    <row r="25" spans="1:138" x14ac:dyDescent="0.3">
      <c r="A25" s="2"/>
      <c r="B25" s="2"/>
      <c r="C25" s="2"/>
      <c r="D25" s="2"/>
      <c r="E25" s="2"/>
      <c r="F25" s="2"/>
      <c r="G25" s="2"/>
      <c r="H25" s="2">
        <v>115</v>
      </c>
      <c r="I25" s="2" cm="1">
        <f t="array" ref="I25">_xlfn.IFS(H25=115,2,H25=150,2,H25=200,1.5,H25=240,1.5,H25=90,2.2)</f>
        <v>2</v>
      </c>
      <c r="J25" s="2" cm="1">
        <f t="array" ref="J25">+_xlfn.IFS(H25=115,AVERAGE(1.49,1.5,1.05,1.7),H25=150,AVERAGE(1.49,1.5,1.05,1.7),H25=200,AVERAGE(1.15,1.15,0.9,1.3),H25=240,AVERAGE(1.15,1.15,0.9,1.3),H25=90,AVERAGE(1.15,1.15,0.9,1.3))</f>
        <v>1.4350000000000001</v>
      </c>
      <c r="K25" s="1"/>
      <c r="L25" s="2"/>
      <c r="M25" s="20"/>
      <c r="N25" s="1"/>
      <c r="O25" s="1"/>
      <c r="P25" s="23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</row>
    <row r="26" spans="1:138" x14ac:dyDescent="0.3">
      <c r="A26" s="2"/>
      <c r="B26" s="2"/>
      <c r="C26" s="2"/>
      <c r="D26" s="2"/>
      <c r="E26" s="2"/>
      <c r="F26" s="2"/>
      <c r="G26" s="2"/>
      <c r="H26" s="2">
        <v>115</v>
      </c>
      <c r="I26" s="2" cm="1">
        <f t="array" ref="I26">_xlfn.IFS(H26=115,2,H26=150,2,H26=200,1.5,H26=240,1.5,H26=90,2.2)</f>
        <v>2</v>
      </c>
      <c r="J26" s="2" cm="1">
        <f t="array" ref="J26">+_xlfn.IFS(H26=115,AVERAGE(1.49,1.5,1.05,1.7),H26=150,AVERAGE(1.49,1.5,1.05,1.7),H26=200,AVERAGE(1.15,1.15,0.9,1.3),H26=240,AVERAGE(1.15,1.15,0.9,1.3),H26=90,AVERAGE(1.15,1.15,0.9,1.3))</f>
        <v>1.4350000000000001</v>
      </c>
      <c r="K26" s="1"/>
      <c r="L26" s="2"/>
      <c r="M26" s="20"/>
      <c r="N26" s="1"/>
      <c r="O26" s="1"/>
      <c r="P26" s="23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</row>
    <row r="27" spans="1:138" x14ac:dyDescent="0.3">
      <c r="A27" s="2"/>
      <c r="B27" s="2"/>
      <c r="C27" s="2"/>
      <c r="D27" s="2"/>
      <c r="E27" s="2"/>
      <c r="F27" s="2"/>
      <c r="G27" s="2"/>
      <c r="H27" s="2">
        <v>115</v>
      </c>
      <c r="I27" s="2" cm="1">
        <f t="array" ref="I27">_xlfn.IFS(H27=115,2,H27=150,2,H27=200,1.5,H27=240,1.5,H27=90,2.2)</f>
        <v>2</v>
      </c>
      <c r="J27" s="2" cm="1">
        <f t="array" ref="J27">+_xlfn.IFS(H27=115,AVERAGE(1.49,1.5,1.05,1.7),H27=150,AVERAGE(1.49,1.5,1.05,1.7),H27=200,AVERAGE(1.15,1.15,0.9,1.3),H27=240,AVERAGE(1.15,1.15,0.9,1.3),H27=90,AVERAGE(1.15,1.15,0.9,1.3))</f>
        <v>1.4350000000000001</v>
      </c>
      <c r="K27" s="1"/>
      <c r="L27" s="2"/>
      <c r="M27" s="20"/>
      <c r="N27" s="1"/>
      <c r="O27" s="1"/>
      <c r="P27" s="23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</row>
    <row r="28" spans="1:138" x14ac:dyDescent="0.3">
      <c r="A28" s="2"/>
      <c r="B28" s="2"/>
      <c r="C28" s="2"/>
      <c r="D28" s="2"/>
      <c r="E28" s="2"/>
      <c r="F28" s="2"/>
      <c r="G28" s="2"/>
      <c r="H28" s="2">
        <v>115</v>
      </c>
      <c r="I28" s="2" cm="1">
        <f t="array" ref="I28">_xlfn.IFS(H28=115,2,H28=150,2,H28=200,1.5,H28=240,1.5,H28=90,2.2)</f>
        <v>2</v>
      </c>
      <c r="J28" s="2" cm="1">
        <f t="array" ref="J28">+_xlfn.IFS(H28=115,AVERAGE(1.49,1.5,1.05,1.7),H28=150,AVERAGE(1.49,1.5,1.05,1.7),H28=200,AVERAGE(1.15,1.15,0.9,1.3),H28=240,AVERAGE(1.15,1.15,0.9,1.3),H28=90,AVERAGE(1.15,1.15,0.9,1.3))</f>
        <v>1.4350000000000001</v>
      </c>
      <c r="K28" s="1"/>
      <c r="L28" s="2"/>
      <c r="M28" s="20"/>
      <c r="N28" s="1"/>
      <c r="O28" s="1"/>
      <c r="P28" s="23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</row>
    <row r="29" spans="1:138" x14ac:dyDescent="0.3">
      <c r="A29" s="2"/>
      <c r="B29" s="2"/>
      <c r="C29" s="2"/>
      <c r="D29" s="2"/>
      <c r="E29" s="2"/>
      <c r="F29" s="2"/>
      <c r="G29" s="2"/>
      <c r="H29" s="2">
        <v>115</v>
      </c>
      <c r="I29" s="2" cm="1">
        <f t="array" ref="I29">_xlfn.IFS(H29=115,2,H29=150,2,H29=200,1.5,H29=240,1.5,H29=90,2.2)</f>
        <v>2</v>
      </c>
      <c r="J29" s="2" cm="1">
        <f t="array" ref="J29">+_xlfn.IFS(H29=115,AVERAGE(1.49,1.5,1.05,1.7),H29=150,AVERAGE(1.49,1.5,1.05,1.7),H29=200,AVERAGE(1.15,1.15,0.9,1.3),H29=240,AVERAGE(1.15,1.15,0.9,1.3),H29=90,AVERAGE(1.15,1.15,0.9,1.3))</f>
        <v>1.4350000000000001</v>
      </c>
      <c r="K29" s="1"/>
      <c r="L29" s="2"/>
      <c r="M29" s="20"/>
      <c r="N29" s="1"/>
      <c r="O29" s="1"/>
      <c r="P29" s="23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</row>
    <row r="30" spans="1:138" x14ac:dyDescent="0.3">
      <c r="A30" s="2"/>
      <c r="B30" s="2"/>
      <c r="C30" s="2"/>
      <c r="D30" s="2"/>
      <c r="E30" s="2"/>
      <c r="F30" s="2"/>
      <c r="G30" s="2"/>
      <c r="H30" s="2">
        <v>115</v>
      </c>
      <c r="I30" s="2" cm="1">
        <f t="array" ref="I30">_xlfn.IFS(H30=115,2,H30=150,2,H30=200,1.5,H30=240,1.5,H30=90,2.2)</f>
        <v>2</v>
      </c>
      <c r="J30" s="2" cm="1">
        <f t="array" ref="J30">+_xlfn.IFS(H30=115,AVERAGE(1.49,1.5,1.05,1.7),H30=150,AVERAGE(1.49,1.5,1.05,1.7),H30=200,AVERAGE(1.15,1.15,0.9,1.3),H30=240,AVERAGE(1.15,1.15,0.9,1.3),H30=90,AVERAGE(1.15,1.15,0.9,1.3))</f>
        <v>1.4350000000000001</v>
      </c>
      <c r="K30" s="1"/>
      <c r="L30" s="2"/>
      <c r="M30" s="20"/>
      <c r="N30" s="1"/>
      <c r="O30" s="1"/>
      <c r="P30" s="23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</row>
    <row r="31" spans="1:138" x14ac:dyDescent="0.3">
      <c r="A31" s="2"/>
      <c r="B31" s="2"/>
      <c r="C31" s="2"/>
      <c r="D31" s="2"/>
      <c r="E31" s="2"/>
      <c r="F31" s="2"/>
      <c r="G31" s="2"/>
      <c r="H31" s="2">
        <v>115</v>
      </c>
      <c r="I31" s="2" cm="1">
        <f t="array" ref="I31">_xlfn.IFS(H31=115,2,H31=150,2,H31=200,1.5,H31=240,1.5,H31=90,2.2)</f>
        <v>2</v>
      </c>
      <c r="J31" s="2" cm="1">
        <f t="array" ref="J31">+_xlfn.IFS(H31=115,AVERAGE(1.49,1.5,1.05,1.7),H31=150,AVERAGE(1.49,1.5,1.05,1.7),H31=200,AVERAGE(1.15,1.15,0.9,1.3),H31=240,AVERAGE(1.15,1.15,0.9,1.3),H31=90,AVERAGE(1.15,1.15,0.9,1.3))</f>
        <v>1.4350000000000001</v>
      </c>
      <c r="K31" s="1"/>
      <c r="L31" s="2"/>
      <c r="M31" s="20"/>
      <c r="N31" s="1"/>
      <c r="O31" s="1"/>
      <c r="P31" s="23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</row>
    <row r="32" spans="1:138" x14ac:dyDescent="0.3">
      <c r="A32" s="2"/>
      <c r="B32" s="2"/>
      <c r="C32" s="2"/>
      <c r="D32" s="2"/>
      <c r="E32" s="2"/>
      <c r="F32" s="2"/>
      <c r="G32" s="2"/>
      <c r="H32" s="2">
        <v>115</v>
      </c>
      <c r="I32" s="2" cm="1">
        <f t="array" ref="I32">_xlfn.IFS(H32=115,2,H32=150,2,H32=200,1.5,H32=240,1.5,H32=90,2.2)</f>
        <v>2</v>
      </c>
      <c r="J32" s="2" cm="1">
        <f t="array" ref="J32">+_xlfn.IFS(H32=115,AVERAGE(1.49,1.5,1.05,1.7),H32=150,AVERAGE(1.49,1.5,1.05,1.7),H32=200,AVERAGE(1.15,1.15,0.9,1.3),H32=240,AVERAGE(1.15,1.15,0.9,1.3),H32=90,AVERAGE(1.15,1.15,0.9,1.3))</f>
        <v>1.4350000000000001</v>
      </c>
      <c r="K32" s="1"/>
      <c r="L32" s="2"/>
      <c r="M32" s="20"/>
      <c r="N32" s="1"/>
      <c r="O32" s="1"/>
      <c r="P32" s="23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</row>
    <row r="33" spans="1:138" x14ac:dyDescent="0.3">
      <c r="A33" s="2"/>
      <c r="B33" s="2"/>
      <c r="C33" s="2"/>
      <c r="D33" s="2"/>
      <c r="E33" s="2"/>
      <c r="F33" s="2"/>
      <c r="G33" s="2"/>
      <c r="H33" s="2">
        <v>115</v>
      </c>
      <c r="I33" s="2" cm="1">
        <f t="array" ref="I33">_xlfn.IFS(H33=115,2,H33=150,2,H33=200,1.5,H33=240,1.5,H33=90,2.2)</f>
        <v>2</v>
      </c>
      <c r="J33" s="2" cm="1">
        <f t="array" ref="J33">+_xlfn.IFS(H33=115,AVERAGE(1.49,1.5,1.05,1.7),H33=150,AVERAGE(1.49,1.5,1.05,1.7),H33=200,AVERAGE(1.15,1.15,0.9,1.3),H33=240,AVERAGE(1.15,1.15,0.9,1.3),H33=90,AVERAGE(1.15,1.15,0.9,1.3))</f>
        <v>1.4350000000000001</v>
      </c>
      <c r="K33" s="1"/>
      <c r="L33" s="2"/>
      <c r="M33" s="20"/>
      <c r="N33" s="1"/>
      <c r="O33" s="1"/>
      <c r="P33" s="23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</row>
    <row r="34" spans="1:138" x14ac:dyDescent="0.3">
      <c r="A34" s="2"/>
      <c r="B34" s="2"/>
      <c r="C34" s="2"/>
      <c r="D34" s="2"/>
      <c r="E34" s="2"/>
      <c r="F34" s="2"/>
      <c r="G34" s="2"/>
      <c r="H34" s="2">
        <v>115</v>
      </c>
      <c r="I34" s="2" cm="1">
        <f t="array" ref="I34">_xlfn.IFS(H34=115,2,H34=150,2,H34=200,1.5,H34=240,1.5,H34=90,2.2)</f>
        <v>2</v>
      </c>
      <c r="J34" s="2" cm="1">
        <f t="array" ref="J34">+_xlfn.IFS(H34=115,AVERAGE(1.49,1.5,1.05,1.7),H34=150,AVERAGE(1.49,1.5,1.05,1.7),H34=200,AVERAGE(1.15,1.15,0.9,1.3),H34=240,AVERAGE(1.15,1.15,0.9,1.3),H34=90,AVERAGE(1.15,1.15,0.9,1.3))</f>
        <v>1.4350000000000001</v>
      </c>
      <c r="K34" s="1"/>
      <c r="L34" s="2"/>
      <c r="M34" s="20"/>
      <c r="N34" s="1"/>
      <c r="O34" s="1"/>
      <c r="P34" s="23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</row>
    <row r="35" spans="1:138" x14ac:dyDescent="0.3">
      <c r="A35" s="2"/>
      <c r="B35" s="2"/>
      <c r="C35" s="2"/>
      <c r="D35" s="2"/>
      <c r="E35" s="2"/>
      <c r="F35" s="2"/>
      <c r="G35" s="2"/>
      <c r="H35" s="2">
        <v>115</v>
      </c>
      <c r="I35" s="2" cm="1">
        <f t="array" ref="I35">_xlfn.IFS(H35=115,2,H35=150,2,H35=200,1.5,H35=240,1.5,H35=90,2.2)</f>
        <v>2</v>
      </c>
      <c r="J35" s="2" cm="1">
        <f t="array" ref="J35">+_xlfn.IFS(H35=115,AVERAGE(1.49,1.5,1.05,1.7),H35=150,AVERAGE(1.49,1.5,1.05,1.7),H35=200,AVERAGE(1.15,1.15,0.9,1.3),H35=240,AVERAGE(1.15,1.15,0.9,1.3),H35=90,AVERAGE(1.15,1.15,0.9,1.3))</f>
        <v>1.4350000000000001</v>
      </c>
      <c r="K35" s="1"/>
      <c r="L35" s="2"/>
      <c r="M35" s="20"/>
      <c r="N35" s="1"/>
      <c r="O35" s="1"/>
      <c r="P35" s="23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</row>
    <row r="36" spans="1:138" x14ac:dyDescent="0.3">
      <c r="A36" s="2"/>
      <c r="B36" s="2"/>
      <c r="C36" s="2"/>
      <c r="D36" s="2"/>
      <c r="E36" s="2"/>
      <c r="F36" s="2"/>
      <c r="G36" s="2"/>
      <c r="H36" s="2">
        <v>115</v>
      </c>
      <c r="I36" s="2" cm="1">
        <f t="array" ref="I36">_xlfn.IFS(H36=115,2,H36=150,2,H36=200,1.5,H36=240,1.5,H36=90,2.2)</f>
        <v>2</v>
      </c>
      <c r="J36" s="2" cm="1">
        <f t="array" ref="J36">+_xlfn.IFS(H36=115,AVERAGE(1.49,1.5,1.05,1.7),H36=150,AVERAGE(1.49,1.5,1.05,1.7),H36=200,AVERAGE(1.15,1.15,0.9,1.3),H36=240,AVERAGE(1.15,1.15,0.9,1.3),H36=90,AVERAGE(1.15,1.15,0.9,1.3))</f>
        <v>1.4350000000000001</v>
      </c>
      <c r="K36" s="1"/>
      <c r="L36" s="2"/>
      <c r="M36" s="20"/>
      <c r="N36" s="1"/>
      <c r="O36" s="1"/>
      <c r="P36" s="23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</row>
    <row r="37" spans="1:138" x14ac:dyDescent="0.3">
      <c r="A37" s="2"/>
      <c r="B37" s="2"/>
      <c r="C37" s="2"/>
      <c r="D37" s="2"/>
      <c r="E37" s="2"/>
      <c r="F37" s="2"/>
      <c r="G37" s="2"/>
      <c r="H37" s="2">
        <v>115</v>
      </c>
      <c r="I37" s="2" cm="1">
        <f t="array" ref="I37">_xlfn.IFS(H37=115,2,H37=150,2,H37=200,1.5,H37=240,1.5,H37=90,2.2)</f>
        <v>2</v>
      </c>
      <c r="J37" s="2" cm="1">
        <f t="array" ref="J37">+_xlfn.IFS(H37=115,AVERAGE(1.49,1.5,1.05,1.7),H37=150,AVERAGE(1.49,1.5,1.05,1.7),H37=200,AVERAGE(1.15,1.15,0.9,1.3),H37=240,AVERAGE(1.15,1.15,0.9,1.3),H37=90,AVERAGE(1.15,1.15,0.9,1.3))</f>
        <v>1.4350000000000001</v>
      </c>
      <c r="K37" s="1"/>
      <c r="L37" s="2"/>
      <c r="M37" s="20"/>
      <c r="N37" s="1"/>
      <c r="O37" s="1"/>
      <c r="P37" s="23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</row>
    <row r="38" spans="1:138" x14ac:dyDescent="0.3">
      <c r="A38" s="2"/>
      <c r="B38" s="2"/>
      <c r="C38" s="2"/>
      <c r="D38" s="2"/>
      <c r="E38" s="2"/>
      <c r="F38" s="2"/>
      <c r="G38" s="2"/>
      <c r="H38" s="2">
        <v>115</v>
      </c>
      <c r="I38" s="2" cm="1">
        <f t="array" ref="I38">_xlfn.IFS(H38=115,2,H38=150,2,H38=200,1.5,H38=240,1.5,H38=90,2.2)</f>
        <v>2</v>
      </c>
      <c r="J38" s="2" cm="1">
        <f t="array" ref="J38">+_xlfn.IFS(H38=115,AVERAGE(1.49,1.5,1.05,1.7),H38=150,AVERAGE(1.49,1.5,1.05,1.7),H38=200,AVERAGE(1.15,1.15,0.9,1.3),H38=240,AVERAGE(1.15,1.15,0.9,1.3),H38=90,AVERAGE(1.15,1.15,0.9,1.3))</f>
        <v>1.4350000000000001</v>
      </c>
      <c r="K38" s="1"/>
      <c r="L38" s="2"/>
      <c r="M38" s="20"/>
      <c r="N38" s="1"/>
      <c r="O38" s="1"/>
      <c r="P38" s="23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</row>
    <row r="39" spans="1:138" x14ac:dyDescent="0.3">
      <c r="A39" s="2"/>
      <c r="B39" s="2"/>
      <c r="C39" s="2"/>
      <c r="D39" s="2"/>
      <c r="E39" s="2"/>
      <c r="F39" s="2"/>
      <c r="G39" s="2"/>
      <c r="H39" s="2">
        <v>115</v>
      </c>
      <c r="I39" s="2" cm="1">
        <f t="array" ref="I39">_xlfn.IFS(H39=115,2,H39=150,2,H39=200,1.5,H39=240,1.5,H39=90,2.2)</f>
        <v>2</v>
      </c>
      <c r="J39" s="2" cm="1">
        <f t="array" ref="J39">+_xlfn.IFS(H39=115,AVERAGE(1.49,1.5,1.05,1.7),H39=150,AVERAGE(1.49,1.5,1.05,1.7),H39=200,AVERAGE(1.15,1.15,0.9,1.3),H39=240,AVERAGE(1.15,1.15,0.9,1.3),H39=90,AVERAGE(1.15,1.15,0.9,1.3))</f>
        <v>1.4350000000000001</v>
      </c>
      <c r="K39" s="1"/>
      <c r="L39" s="2"/>
      <c r="M39" s="20"/>
      <c r="N39" s="1"/>
      <c r="O39" s="1"/>
      <c r="P39" s="23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</row>
    <row r="40" spans="1:138" x14ac:dyDescent="0.3">
      <c r="A40" s="2"/>
      <c r="B40" s="2"/>
      <c r="C40" s="2"/>
      <c r="D40" s="2"/>
      <c r="E40" s="2"/>
      <c r="F40" s="2"/>
      <c r="G40" s="2"/>
      <c r="H40" s="2">
        <v>115</v>
      </c>
      <c r="I40" s="2" cm="1">
        <f t="array" ref="I40">_xlfn.IFS(H40=115,2,H40=150,2,H40=200,1.5,H40=240,1.5,H40=90,2.2)</f>
        <v>2</v>
      </c>
      <c r="J40" s="2" cm="1">
        <f t="array" ref="J40">+_xlfn.IFS(H40=115,AVERAGE(1.49,1.5,1.05,1.7),H40=150,AVERAGE(1.49,1.5,1.05,1.7),H40=200,AVERAGE(1.15,1.15,0.9,1.3),H40=240,AVERAGE(1.15,1.15,0.9,1.3),H40=90,AVERAGE(1.15,1.15,0.9,1.3))</f>
        <v>1.4350000000000001</v>
      </c>
      <c r="K40" s="1"/>
      <c r="L40" s="2"/>
      <c r="M40" s="20"/>
      <c r="N40" s="1"/>
      <c r="O40" s="1"/>
      <c r="P40" s="23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</row>
    <row r="41" spans="1:138" x14ac:dyDescent="0.3">
      <c r="A41" s="2"/>
      <c r="B41" s="2"/>
      <c r="C41" s="2"/>
      <c r="D41" s="2"/>
      <c r="E41" s="2"/>
      <c r="F41" s="2"/>
      <c r="G41" s="2"/>
      <c r="H41" s="2">
        <v>115</v>
      </c>
      <c r="I41" s="2" cm="1">
        <f t="array" ref="I41">_xlfn.IFS(H41=115,2,H41=150,2,H41=200,1.5,H41=240,1.5,H41=90,2.2)</f>
        <v>2</v>
      </c>
      <c r="J41" s="2" cm="1">
        <f t="array" ref="J41">+_xlfn.IFS(H41=115,AVERAGE(1.49,1.5,1.05,1.7),H41=150,AVERAGE(1.49,1.5,1.05,1.7),H41=200,AVERAGE(1.15,1.15,0.9,1.3),H41=240,AVERAGE(1.15,1.15,0.9,1.3),H41=90,AVERAGE(1.15,1.15,0.9,1.3))</f>
        <v>1.4350000000000001</v>
      </c>
      <c r="K41" s="1"/>
      <c r="L41" s="2"/>
      <c r="M41" s="20"/>
      <c r="N41" s="1"/>
      <c r="O41" s="1"/>
      <c r="P41" s="25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</row>
    <row r="42" spans="1:138" x14ac:dyDescent="0.3">
      <c r="A42" s="2"/>
      <c r="B42" s="2"/>
      <c r="C42" s="2"/>
      <c r="D42" s="2"/>
      <c r="E42" s="2"/>
      <c r="F42" s="2"/>
      <c r="G42" s="2"/>
      <c r="H42" s="2">
        <v>115</v>
      </c>
      <c r="I42" s="2" cm="1">
        <f t="array" ref="I42">_xlfn.IFS(H42=115,2,H42=150,2,H42=200,1.5,H42=240,1.5,H42=90,2.2)</f>
        <v>2</v>
      </c>
      <c r="J42" s="2" cm="1">
        <f t="array" ref="J42">+_xlfn.IFS(H42=115,AVERAGE(1.49,1.5,1.05,1.7),H42=150,AVERAGE(1.49,1.5,1.05,1.7),H42=200,AVERAGE(1.15,1.15,0.9,1.3),H42=240,AVERAGE(1.15,1.15,0.9,1.3),H42=90,AVERAGE(1.15,1.15,0.9,1.3))</f>
        <v>1.4350000000000001</v>
      </c>
      <c r="K42" s="1"/>
      <c r="L42" s="2"/>
      <c r="M42" s="20"/>
      <c r="N42" s="1"/>
      <c r="O42" s="1"/>
      <c r="P42" s="25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</row>
    <row r="43" spans="1:138" x14ac:dyDescent="0.3">
      <c r="A43" s="2"/>
      <c r="B43" s="2"/>
      <c r="C43" s="2"/>
      <c r="D43" s="2"/>
      <c r="E43" s="2"/>
      <c r="F43" s="2"/>
      <c r="G43" s="2"/>
      <c r="H43" s="2">
        <v>115</v>
      </c>
      <c r="I43" s="2" cm="1">
        <f t="array" ref="I43">_xlfn.IFS(H43=115,2,H43=150,2,H43=200,1.5,H43=240,1.5,H43=90,2.2)</f>
        <v>2</v>
      </c>
      <c r="J43" s="2" cm="1">
        <f t="array" ref="J43">+_xlfn.IFS(H43=115,AVERAGE(1.49,1.5,1.05,1.7),H43=150,AVERAGE(1.49,1.5,1.05,1.7),H43=200,AVERAGE(1.15,1.15,0.9,1.3),H43=240,AVERAGE(1.15,1.15,0.9,1.3),H43=90,AVERAGE(1.15,1.15,0.9,1.3))</f>
        <v>1.4350000000000001</v>
      </c>
      <c r="K43" s="1"/>
      <c r="L43" s="2"/>
      <c r="M43" s="20"/>
      <c r="N43" s="1"/>
      <c r="O43" s="1"/>
      <c r="P43" s="25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</row>
    <row r="44" spans="1:138" x14ac:dyDescent="0.3">
      <c r="A44" s="2"/>
      <c r="B44" s="2"/>
      <c r="C44" s="2"/>
      <c r="D44" s="2"/>
      <c r="E44" s="2"/>
      <c r="F44" s="2"/>
      <c r="G44" s="2"/>
      <c r="H44" s="2">
        <v>115</v>
      </c>
      <c r="I44" s="2" cm="1">
        <f t="array" ref="I44">_xlfn.IFS(H44=115,2,H44=150,2,H44=200,1.5,H44=240,1.5,H44=90,2.2)</f>
        <v>2</v>
      </c>
      <c r="J44" s="2" cm="1">
        <f t="array" ref="J44">+_xlfn.IFS(H44=115,AVERAGE(1.49,1.5,1.05,1.7),H44=150,AVERAGE(1.49,1.5,1.05,1.7),H44=200,AVERAGE(1.15,1.15,0.9,1.3),H44=240,AVERAGE(1.15,1.15,0.9,1.3),H44=90,AVERAGE(1.15,1.15,0.9,1.3))</f>
        <v>1.4350000000000001</v>
      </c>
      <c r="K44" s="1"/>
      <c r="L44" s="2"/>
      <c r="M44" s="20"/>
      <c r="N44" s="1"/>
      <c r="O44" s="1"/>
      <c r="P44" s="25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</row>
    <row r="45" spans="1:138" x14ac:dyDescent="0.3">
      <c r="A45" s="2"/>
      <c r="B45" s="2"/>
      <c r="C45" s="2"/>
      <c r="D45" s="2"/>
      <c r="E45" s="2"/>
      <c r="F45" s="2"/>
      <c r="G45" s="2"/>
      <c r="H45" s="2">
        <v>115</v>
      </c>
      <c r="I45" s="2" cm="1">
        <f t="array" ref="I45">_xlfn.IFS(H45=115,2,H45=150,2,H45=200,1.5,H45=240,1.5,H45=90,2.2)</f>
        <v>2</v>
      </c>
      <c r="J45" s="2" cm="1">
        <f t="array" ref="J45">+_xlfn.IFS(H45=115,AVERAGE(1.49,1.5,1.05,1.7),H45=150,AVERAGE(1.49,1.5,1.05,1.7),H45=200,AVERAGE(1.15,1.15,0.9,1.3),H45=240,AVERAGE(1.15,1.15,0.9,1.3),H45=90,AVERAGE(1.15,1.15,0.9,1.3))</f>
        <v>1.4350000000000001</v>
      </c>
      <c r="K45" s="1"/>
      <c r="L45" s="2"/>
      <c r="M45" s="20"/>
      <c r="N45" s="1"/>
      <c r="O45" s="1"/>
      <c r="P45" s="25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</row>
    <row r="46" spans="1:138" x14ac:dyDescent="0.3">
      <c r="A46" s="2"/>
      <c r="B46" s="2"/>
      <c r="C46" s="2"/>
      <c r="D46" s="2"/>
      <c r="E46" s="2"/>
      <c r="F46" s="2"/>
      <c r="G46" s="2"/>
      <c r="H46" s="2">
        <v>115</v>
      </c>
      <c r="I46" s="2" cm="1">
        <f t="array" ref="I46">_xlfn.IFS(H46=115,2,H46=150,2,H46=200,1.5,H46=240,1.5,H46=90,2.2)</f>
        <v>2</v>
      </c>
      <c r="J46" s="2" cm="1">
        <f t="array" ref="J46">+_xlfn.IFS(H46=115,AVERAGE(1.49,1.5,1.05,1.7),H46=150,AVERAGE(1.49,1.5,1.05,1.7),H46=200,AVERAGE(1.15,1.15,0.9,1.3),H46=240,AVERAGE(1.15,1.15,0.9,1.3),H46=90,AVERAGE(1.15,1.15,0.9,1.3))</f>
        <v>1.4350000000000001</v>
      </c>
      <c r="K46" s="1"/>
      <c r="L46" s="2"/>
      <c r="M46" s="20"/>
      <c r="N46" s="1"/>
      <c r="O46" s="1"/>
      <c r="P46" s="25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</row>
    <row r="47" spans="1:138" x14ac:dyDescent="0.3">
      <c r="A47" s="2"/>
      <c r="B47" s="2"/>
      <c r="C47" s="2"/>
      <c r="D47" s="2"/>
      <c r="E47" s="2"/>
      <c r="F47" s="2"/>
      <c r="G47" s="2"/>
      <c r="H47" s="2">
        <v>115</v>
      </c>
      <c r="I47" s="2" cm="1">
        <f t="array" ref="I47">_xlfn.IFS(H47=115,2,H47=150,2,H47=200,1.5,H47=240,1.5,H47=90,2.2)</f>
        <v>2</v>
      </c>
      <c r="J47" s="2" cm="1">
        <f t="array" ref="J47">+_xlfn.IFS(H47=115,AVERAGE(1.49,1.5,1.05,1.7),H47=150,AVERAGE(1.49,1.5,1.05,1.7),H47=200,AVERAGE(1.15,1.15,0.9,1.3),H47=240,AVERAGE(1.15,1.15,0.9,1.3),H47=90,AVERAGE(1.15,1.15,0.9,1.3))</f>
        <v>1.4350000000000001</v>
      </c>
      <c r="K47" s="1"/>
      <c r="L47" s="2"/>
      <c r="M47" s="20"/>
      <c r="N47" s="1"/>
      <c r="O47" s="1"/>
      <c r="P47" s="25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</row>
    <row r="48" spans="1:138" x14ac:dyDescent="0.3">
      <c r="A48" s="2"/>
      <c r="B48" s="2"/>
      <c r="C48" s="2"/>
      <c r="D48" s="2"/>
      <c r="E48" s="2"/>
      <c r="F48" s="2"/>
      <c r="G48" s="2"/>
      <c r="H48" s="2">
        <v>115</v>
      </c>
      <c r="I48" s="2" cm="1">
        <f t="array" ref="I48">_xlfn.IFS(H48=115,2,H48=150,2,H48=200,1.5,H48=240,1.5,H48=90,2.2)</f>
        <v>2</v>
      </c>
      <c r="J48" s="2" cm="1">
        <f t="array" ref="J48">+_xlfn.IFS(H48=115,AVERAGE(1.49,1.5,1.05,1.7),H48=150,AVERAGE(1.49,1.5,1.05,1.7),H48=200,AVERAGE(1.15,1.15,0.9,1.3),H48=240,AVERAGE(1.15,1.15,0.9,1.3),H48=90,AVERAGE(1.15,1.15,0.9,1.3))</f>
        <v>1.4350000000000001</v>
      </c>
      <c r="K48" s="1"/>
      <c r="L48" s="2"/>
      <c r="M48" s="20"/>
      <c r="N48" s="1"/>
      <c r="O48" s="1"/>
      <c r="P48" s="25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</row>
    <row r="49" spans="1:138" x14ac:dyDescent="0.3">
      <c r="A49" s="2"/>
      <c r="B49" s="2"/>
      <c r="C49" s="2"/>
      <c r="D49" s="2"/>
      <c r="E49" s="2"/>
      <c r="F49" s="2"/>
      <c r="G49" s="2"/>
      <c r="H49" s="2">
        <v>115</v>
      </c>
      <c r="I49" s="2" cm="1">
        <f t="array" ref="I49">_xlfn.IFS(H49=115,2,H49=150,2,H49=200,1.5,H49=240,1.5,H49=90,2.2)</f>
        <v>2</v>
      </c>
      <c r="J49" s="2" cm="1">
        <f t="array" ref="J49">+_xlfn.IFS(H49=115,AVERAGE(1.49,1.5,1.05,1.7),H49=150,AVERAGE(1.49,1.5,1.05,1.7),H49=200,AVERAGE(1.15,1.15,0.9,1.3),H49=240,AVERAGE(1.15,1.15,0.9,1.3),H49=90,AVERAGE(1.15,1.15,0.9,1.3))</f>
        <v>1.4350000000000001</v>
      </c>
      <c r="K49" s="1"/>
      <c r="L49" s="2"/>
      <c r="M49" s="20"/>
      <c r="N49" s="1"/>
      <c r="O49" s="1"/>
      <c r="P49" s="25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</row>
    <row r="50" spans="1:138" x14ac:dyDescent="0.3">
      <c r="A50" s="2"/>
      <c r="B50" s="2"/>
      <c r="C50" s="2"/>
      <c r="D50" s="2"/>
      <c r="E50" s="2"/>
      <c r="F50" s="2"/>
      <c r="G50" s="2"/>
      <c r="H50" s="2">
        <v>115</v>
      </c>
      <c r="I50" s="2" cm="1">
        <f t="array" ref="I50">_xlfn.IFS(H50=115,2,H50=150,2,H50=200,1.5,H50=240,1.5,H50=90,2.2)</f>
        <v>2</v>
      </c>
      <c r="J50" s="2" cm="1">
        <f t="array" ref="J50">+_xlfn.IFS(H50=115,AVERAGE(1.49,1.5,1.05,1.7),H50=150,AVERAGE(1.49,1.5,1.05,1.7),H50=200,AVERAGE(1.15,1.15,0.9,1.3),H50=240,AVERAGE(1.15,1.15,0.9,1.3),H50=90,AVERAGE(1.15,1.15,0.9,1.3))</f>
        <v>1.4350000000000001</v>
      </c>
      <c r="K50" s="1"/>
      <c r="L50" s="2"/>
      <c r="M50" s="20"/>
      <c r="N50" s="1"/>
      <c r="O50" s="1"/>
      <c r="P50" s="25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</row>
    <row r="51" spans="1:138" x14ac:dyDescent="0.3">
      <c r="A51" s="2"/>
      <c r="B51" s="2"/>
      <c r="C51" s="2"/>
      <c r="D51" s="2"/>
      <c r="E51" s="2"/>
      <c r="F51" s="2"/>
      <c r="G51" s="2"/>
      <c r="H51" s="2">
        <v>115</v>
      </c>
      <c r="I51" s="2" cm="1">
        <f t="array" ref="I51">_xlfn.IFS(H51=115,2,H51=150,2,H51=200,1.5,H51=240,1.5,H51=90,2.2)</f>
        <v>2</v>
      </c>
      <c r="J51" s="2" cm="1">
        <f t="array" ref="J51">+_xlfn.IFS(H51=115,AVERAGE(1.49,1.5,1.05,1.7),H51=150,AVERAGE(1.49,1.5,1.05,1.7),H51=200,AVERAGE(1.15,1.15,0.9,1.3),H51=240,AVERAGE(1.15,1.15,0.9,1.3),H51=90,AVERAGE(1.15,1.15,0.9,1.3))</f>
        <v>1.4350000000000001</v>
      </c>
      <c r="K51" s="1"/>
      <c r="L51" s="2"/>
      <c r="M51" s="20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</row>
    <row r="52" spans="1:138" x14ac:dyDescent="0.3">
      <c r="A52" s="2"/>
      <c r="B52" s="2"/>
      <c r="C52" s="2"/>
      <c r="D52" s="2"/>
      <c r="E52" s="2"/>
      <c r="F52" s="2"/>
      <c r="G52" s="2"/>
      <c r="H52" s="2">
        <v>115</v>
      </c>
      <c r="I52" s="2" cm="1">
        <f t="array" ref="I52">_xlfn.IFS(H52=115,2,H52=150,2,H52=200,1.5,H52=240,1.5,H52=90,2.2)</f>
        <v>2</v>
      </c>
      <c r="J52" s="2" cm="1">
        <f t="array" ref="J52">+_xlfn.IFS(H52=115,AVERAGE(1.49,1.5,1.05,1.7),H52=150,AVERAGE(1.49,1.5,1.05,1.7),H52=200,AVERAGE(1.15,1.15,0.9,1.3),H52=240,AVERAGE(1.15,1.15,0.9,1.3),H52=90,AVERAGE(1.15,1.15,0.9,1.3))</f>
        <v>1.4350000000000001</v>
      </c>
      <c r="K52" s="1"/>
      <c r="L52" s="2"/>
      <c r="M52" s="20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</row>
    <row r="53" spans="1:138" x14ac:dyDescent="0.3">
      <c r="A53" s="2"/>
      <c r="B53" s="2"/>
      <c r="C53" s="2"/>
      <c r="D53" s="2"/>
      <c r="E53" s="2"/>
      <c r="F53" s="2"/>
      <c r="G53" s="2"/>
      <c r="H53" s="2">
        <v>115</v>
      </c>
      <c r="I53" s="2" cm="1">
        <f t="array" ref="I53">_xlfn.IFS(H53=115,2,H53=150,2,H53=200,1.5,H53=240,1.5,H53=90,2.2)</f>
        <v>2</v>
      </c>
      <c r="J53" s="2" cm="1">
        <f t="array" ref="J53">+_xlfn.IFS(H53=115,AVERAGE(1.49,1.5,1.05,1.7),H53=150,AVERAGE(1.49,1.5,1.05,1.7),H53=200,AVERAGE(1.15,1.15,0.9,1.3),H53=240,AVERAGE(1.15,1.15,0.9,1.3),H53=90,AVERAGE(1.15,1.15,0.9,1.3))</f>
        <v>1.4350000000000001</v>
      </c>
      <c r="K53" s="1"/>
      <c r="L53" s="2"/>
      <c r="M53" s="20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</row>
    <row r="54" spans="1:138" x14ac:dyDescent="0.3">
      <c r="A54" s="2"/>
      <c r="B54" s="2"/>
      <c r="C54" s="2"/>
      <c r="D54" s="2"/>
      <c r="E54" s="2"/>
      <c r="F54" s="2"/>
      <c r="G54" s="2"/>
      <c r="H54" s="2">
        <v>115</v>
      </c>
      <c r="I54" s="2" cm="1">
        <f t="array" ref="I54">_xlfn.IFS(H54=115,2,H54=150,2,H54=200,1.5,H54=240,1.5,H54=90,2.2)</f>
        <v>2</v>
      </c>
      <c r="J54" s="2" cm="1">
        <f t="array" ref="J54">+_xlfn.IFS(H54=115,AVERAGE(1.49,1.5,1.05,1.7),H54=150,AVERAGE(1.49,1.5,1.05,1.7),H54=200,AVERAGE(1.15,1.15,0.9,1.3),H54=240,AVERAGE(1.15,1.15,0.9,1.3),H54=90,AVERAGE(1.15,1.15,0.9,1.3))</f>
        <v>1.4350000000000001</v>
      </c>
      <c r="K54" s="1"/>
      <c r="L54" s="2"/>
      <c r="M54" s="20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</row>
    <row r="55" spans="1:138" x14ac:dyDescent="0.3">
      <c r="A55" s="2"/>
      <c r="B55" s="2"/>
      <c r="C55" s="2"/>
      <c r="D55" s="2"/>
      <c r="E55" s="2"/>
      <c r="F55" s="2"/>
      <c r="G55" s="2"/>
      <c r="H55" s="2">
        <v>115</v>
      </c>
      <c r="I55" s="2" cm="1">
        <f t="array" ref="I55">_xlfn.IFS(H55=115,2,H55=150,2,H55=200,1.5,H55=240,1.5,H55=90,2.2)</f>
        <v>2</v>
      </c>
      <c r="J55" s="2" cm="1">
        <f t="array" ref="J55">+_xlfn.IFS(H55=115,AVERAGE(1.49,1.5,1.05,1.7),H55=150,AVERAGE(1.49,1.5,1.05,1.7),H55=200,AVERAGE(1.15,1.15,0.9,1.3),H55=240,AVERAGE(1.15,1.15,0.9,1.3),H55=90,AVERAGE(1.15,1.15,0.9,1.3))</f>
        <v>1.4350000000000001</v>
      </c>
      <c r="K55" s="1"/>
      <c r="L55" s="2"/>
      <c r="M55" s="20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</row>
    <row r="56" spans="1:138" x14ac:dyDescent="0.3">
      <c r="A56" s="2"/>
      <c r="B56" s="2"/>
      <c r="C56" s="2"/>
      <c r="D56" s="2"/>
      <c r="E56" s="2"/>
      <c r="F56" s="2"/>
      <c r="G56" s="2"/>
      <c r="H56" s="2">
        <v>115</v>
      </c>
      <c r="I56" s="2" cm="1">
        <f t="array" ref="I56">_xlfn.IFS(H56=115,2,H56=150,2,H56=200,1.5,H56=240,1.5,H56=90,2.2)</f>
        <v>2</v>
      </c>
      <c r="J56" s="2" cm="1">
        <f t="array" ref="J56">+_xlfn.IFS(H56=115,AVERAGE(1.49,1.5,1.05,1.7),H56=150,AVERAGE(1.49,1.5,1.05,1.7),H56=200,AVERAGE(1.15,1.15,0.9,1.3),H56=240,AVERAGE(1.15,1.15,0.9,1.3),H56=90,AVERAGE(1.15,1.15,0.9,1.3))</f>
        <v>1.4350000000000001</v>
      </c>
      <c r="K56" s="1"/>
      <c r="L56" s="2"/>
      <c r="M56" s="20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</row>
    <row r="57" spans="1:138" x14ac:dyDescent="0.3">
      <c r="A57" s="2"/>
      <c r="B57" s="2"/>
      <c r="C57" s="2"/>
      <c r="D57" s="2"/>
      <c r="E57" s="2"/>
      <c r="F57" s="2"/>
      <c r="G57" s="2"/>
      <c r="H57" s="2">
        <v>115</v>
      </c>
      <c r="I57" s="2" cm="1">
        <f t="array" ref="I57">_xlfn.IFS(H57=115,2,H57=150,2,H57=200,1.5,H57=240,1.5,H57=90,2.2)</f>
        <v>2</v>
      </c>
      <c r="J57" s="2" cm="1">
        <f t="array" ref="J57">+_xlfn.IFS(H57=115,AVERAGE(1.49,1.5,1.05,1.7),H57=150,AVERAGE(1.49,1.5,1.05,1.7),H57=200,AVERAGE(1.15,1.15,0.9,1.3),H57=240,AVERAGE(1.15,1.15,0.9,1.3),H57=90,AVERAGE(1.15,1.15,0.9,1.3))</f>
        <v>1.4350000000000001</v>
      </c>
      <c r="K57" s="1"/>
      <c r="L57" s="2"/>
      <c r="M57" s="20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</row>
    <row r="58" spans="1:138" x14ac:dyDescent="0.3">
      <c r="A58" s="2"/>
      <c r="B58" s="2"/>
      <c r="C58" s="2"/>
      <c r="D58" s="2"/>
      <c r="E58" s="2"/>
      <c r="F58" s="2"/>
      <c r="G58" s="2"/>
      <c r="H58" s="2">
        <v>115</v>
      </c>
      <c r="I58" s="2" cm="1">
        <f t="array" ref="I58">_xlfn.IFS(H58=115,2,H58=150,2,H58=200,1.5,H58=240,1.5,H58=90,2.2)</f>
        <v>2</v>
      </c>
      <c r="J58" s="2" cm="1">
        <f t="array" ref="J58">+_xlfn.IFS(H58=115,AVERAGE(1.49,1.5,1.05,1.7),H58=150,AVERAGE(1.49,1.5,1.05,1.7),H58=200,AVERAGE(1.15,1.15,0.9,1.3),H58=240,AVERAGE(1.15,1.15,0.9,1.3),H58=90,AVERAGE(1.15,1.15,0.9,1.3))</f>
        <v>1.4350000000000001</v>
      </c>
      <c r="K58" s="1"/>
      <c r="L58" s="2"/>
      <c r="M58" s="20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</row>
    <row r="59" spans="1:138" x14ac:dyDescent="0.3">
      <c r="A59" s="2"/>
      <c r="B59" s="2"/>
      <c r="C59" s="2"/>
      <c r="D59" s="2"/>
      <c r="E59" s="2"/>
      <c r="F59" s="2"/>
      <c r="G59" s="2"/>
      <c r="H59" s="2">
        <v>115</v>
      </c>
      <c r="I59" s="2" cm="1">
        <f t="array" ref="I59">_xlfn.IFS(H59=115,2,H59=150,2,H59=200,1.5,H59=240,1.5,H59=90,2.2)</f>
        <v>2</v>
      </c>
      <c r="J59" s="2" cm="1">
        <f t="array" ref="J59">+_xlfn.IFS(H59=115,AVERAGE(1.49,1.5,1.05,1.7),H59=150,AVERAGE(1.49,1.5,1.05,1.7),H59=200,AVERAGE(1.15,1.15,0.9,1.3),H59=240,AVERAGE(1.15,1.15,0.9,1.3),H59=90,AVERAGE(1.15,1.15,0.9,1.3))</f>
        <v>1.4350000000000001</v>
      </c>
      <c r="K59" s="1"/>
      <c r="L59" s="2"/>
      <c r="M59" s="20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</row>
    <row r="60" spans="1:138" x14ac:dyDescent="0.3">
      <c r="A60" s="2"/>
      <c r="B60" s="2"/>
      <c r="C60" s="2"/>
      <c r="D60" s="2"/>
      <c r="E60" s="2"/>
      <c r="F60" s="2"/>
      <c r="G60" s="2"/>
      <c r="H60" s="2">
        <v>115</v>
      </c>
      <c r="I60" s="2" cm="1">
        <f t="array" ref="I60">_xlfn.IFS(H60=115,2,H60=150,2,H60=200,1.5,H60=240,1.5,H60=90,2.2)</f>
        <v>2</v>
      </c>
      <c r="J60" s="2" cm="1">
        <f t="array" ref="J60">+_xlfn.IFS(H60=115,AVERAGE(1.49,1.5,1.05,1.7),H60=150,AVERAGE(1.49,1.5,1.05,1.7),H60=200,AVERAGE(1.15,1.15,0.9,1.3),H60=240,AVERAGE(1.15,1.15,0.9,1.3),H60=90,AVERAGE(1.15,1.15,0.9,1.3))</f>
        <v>1.4350000000000001</v>
      </c>
      <c r="K60" s="1"/>
      <c r="L60" s="2"/>
      <c r="M60" s="20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</row>
    <row r="61" spans="1:138" x14ac:dyDescent="0.3">
      <c r="A61" s="2"/>
      <c r="B61" s="2"/>
      <c r="C61" s="2"/>
      <c r="D61" s="2"/>
      <c r="E61" s="2"/>
      <c r="F61" s="2"/>
      <c r="G61" s="2"/>
      <c r="H61" s="2">
        <v>115</v>
      </c>
      <c r="I61" s="2" cm="1">
        <f t="array" ref="I61">_xlfn.IFS(H61=115,2,H61=150,2,H61=200,1.5,H61=240,1.5,H61=90,2.2)</f>
        <v>2</v>
      </c>
      <c r="J61" s="2" cm="1">
        <f t="array" ref="J61">+_xlfn.IFS(H61=115,AVERAGE(1.49,1.5,1.05,1.7),H61=150,AVERAGE(1.49,1.5,1.05,1.7),H61=200,AVERAGE(1.15,1.15,0.9,1.3),H61=240,AVERAGE(1.15,1.15,0.9,1.3),H61=90,AVERAGE(1.15,1.15,0.9,1.3))</f>
        <v>1.4350000000000001</v>
      </c>
      <c r="K61" s="1"/>
      <c r="L61" s="2"/>
      <c r="M61" s="20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</row>
    <row r="62" spans="1:138" x14ac:dyDescent="0.3">
      <c r="A62" s="2"/>
      <c r="B62" s="2"/>
      <c r="C62" s="2"/>
      <c r="D62" s="2"/>
      <c r="E62" s="2"/>
      <c r="F62" s="2"/>
      <c r="G62" s="2"/>
      <c r="H62" s="2">
        <v>115</v>
      </c>
      <c r="I62" s="2" cm="1">
        <f t="array" ref="I62">_xlfn.IFS(H62=115,2,H62=150,2,H62=200,1.5,H62=240,1.5,H62=90,2.2)</f>
        <v>2</v>
      </c>
      <c r="J62" s="2" cm="1">
        <f t="array" ref="J62">+_xlfn.IFS(H62=115,AVERAGE(1.49,1.5,1.05,1.7),H62=150,AVERAGE(1.49,1.5,1.05,1.7),H62=200,AVERAGE(1.15,1.15,0.9,1.3),H62=240,AVERAGE(1.15,1.15,0.9,1.3),H62=90,AVERAGE(1.15,1.15,0.9,1.3))</f>
        <v>1.4350000000000001</v>
      </c>
      <c r="K62" s="1"/>
      <c r="L62" s="2"/>
      <c r="M62" s="20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</row>
    <row r="63" spans="1:138" x14ac:dyDescent="0.3">
      <c r="A63" s="2"/>
      <c r="B63" s="2"/>
      <c r="C63" s="2"/>
      <c r="D63" s="2"/>
      <c r="E63" s="2"/>
      <c r="F63" s="2"/>
      <c r="G63" s="2"/>
      <c r="H63" s="2">
        <v>115</v>
      </c>
      <c r="I63" s="2" cm="1">
        <f t="array" ref="I63">_xlfn.IFS(H63=115,2,H63=150,2,H63=200,1.5,H63=240,1.5,H63=90,2.2)</f>
        <v>2</v>
      </c>
      <c r="J63" s="2" cm="1">
        <f t="array" ref="J63">+_xlfn.IFS(H63=115,AVERAGE(1.49,1.5,1.05,1.7),H63=150,AVERAGE(1.49,1.5,1.05,1.7),H63=200,AVERAGE(1.15,1.15,0.9,1.3),H63=240,AVERAGE(1.15,1.15,0.9,1.3),H63=90,AVERAGE(1.15,1.15,0.9,1.3))</f>
        <v>1.4350000000000001</v>
      </c>
      <c r="K63" s="1"/>
      <c r="L63" s="2"/>
      <c r="M63" s="20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</row>
    <row r="64" spans="1:138" x14ac:dyDescent="0.3">
      <c r="A64" s="2"/>
      <c r="B64" s="2"/>
      <c r="C64" s="2"/>
      <c r="D64" s="2"/>
      <c r="E64" s="2"/>
      <c r="F64" s="2"/>
      <c r="G64" s="2"/>
      <c r="H64" s="2">
        <v>115</v>
      </c>
      <c r="I64" s="2" cm="1">
        <f t="array" ref="I64">_xlfn.IFS(H64=115,2,H64=150,2,H64=200,1.5,H64=240,1.5,H64=90,2.2)</f>
        <v>2</v>
      </c>
      <c r="J64" s="2" cm="1">
        <f t="array" ref="J64">+_xlfn.IFS(H64=115,AVERAGE(1.49,1.5,1.05,1.7),H64=150,AVERAGE(1.49,1.5,1.05,1.7),H64=200,AVERAGE(1.15,1.15,0.9,1.3),H64=240,AVERAGE(1.15,1.15,0.9,1.3),H64=90,AVERAGE(1.15,1.15,0.9,1.3))</f>
        <v>1.4350000000000001</v>
      </c>
      <c r="K64" s="1"/>
      <c r="L64" s="2"/>
      <c r="M64" s="20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</row>
    <row r="65" spans="1:138" x14ac:dyDescent="0.3">
      <c r="A65" s="2"/>
      <c r="B65" s="2"/>
      <c r="C65" s="2"/>
      <c r="D65" s="2"/>
      <c r="E65" s="2"/>
      <c r="F65" s="2"/>
      <c r="G65" s="2"/>
      <c r="H65" s="2">
        <v>115</v>
      </c>
      <c r="I65" s="2" cm="1">
        <f t="array" ref="I65">_xlfn.IFS(H65=115,2,H65=150,2,H65=200,1.5,H65=240,1.5,H65=90,2.2)</f>
        <v>2</v>
      </c>
      <c r="J65" s="2" cm="1">
        <f t="array" ref="J65">+_xlfn.IFS(H65=115,AVERAGE(1.49,1.5,1.05,1.7),H65=150,AVERAGE(1.49,1.5,1.05,1.7),H65=200,AVERAGE(1.15,1.15,0.9,1.3),H65=240,AVERAGE(1.15,1.15,0.9,1.3),H65=90,AVERAGE(1.15,1.15,0.9,1.3))</f>
        <v>1.4350000000000001</v>
      </c>
      <c r="K65" s="1"/>
      <c r="L65" s="2"/>
      <c r="M65" s="20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</row>
    <row r="66" spans="1:138" x14ac:dyDescent="0.3">
      <c r="A66" s="2"/>
      <c r="B66" s="2"/>
      <c r="C66" s="2"/>
      <c r="D66" s="2"/>
      <c r="E66" s="2"/>
      <c r="F66" s="2"/>
      <c r="G66" s="2"/>
      <c r="H66" s="2">
        <v>115</v>
      </c>
      <c r="I66" s="2" cm="1">
        <f t="array" ref="I66">_xlfn.IFS(H66=115,2,H66=150,2,H66=200,1.5,H66=240,1.5,H66=90,2.2)</f>
        <v>2</v>
      </c>
      <c r="J66" s="2" cm="1">
        <f t="array" ref="J66">+_xlfn.IFS(H66=115,AVERAGE(1.49,1.5,1.05,1.7),H66=150,AVERAGE(1.49,1.5,1.05,1.7),H66=200,AVERAGE(1.15,1.15,0.9,1.3),H66=240,AVERAGE(1.15,1.15,0.9,1.3),H66=90,AVERAGE(1.15,1.15,0.9,1.3))</f>
        <v>1.4350000000000001</v>
      </c>
      <c r="K66" s="1"/>
      <c r="L66" s="2"/>
      <c r="M66" s="20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</row>
    <row r="67" spans="1:138" x14ac:dyDescent="0.3">
      <c r="A67" s="2"/>
      <c r="B67" s="2"/>
      <c r="C67" s="2"/>
      <c r="D67" s="2"/>
      <c r="E67" s="2"/>
      <c r="F67" s="2"/>
      <c r="G67" s="2"/>
      <c r="H67" s="2">
        <v>115</v>
      </c>
      <c r="I67" s="2" cm="1">
        <f t="array" ref="I67">_xlfn.IFS(H67=115,2,H67=150,2,H67=200,1.5,H67=240,1.5,H67=90,2.2)</f>
        <v>2</v>
      </c>
      <c r="J67" s="2" cm="1">
        <f t="array" ref="J67">+_xlfn.IFS(H67=115,AVERAGE(1.49,1.5,1.05,1.7),H67=150,AVERAGE(1.49,1.5,1.05,1.7),H67=200,AVERAGE(1.15,1.15,0.9,1.3),H67=240,AVERAGE(1.15,1.15,0.9,1.3),H67=90,AVERAGE(1.15,1.15,0.9,1.3))</f>
        <v>1.4350000000000001</v>
      </c>
      <c r="K67" s="1"/>
      <c r="L67" s="2"/>
      <c r="M67" s="20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</row>
    <row r="68" spans="1:138" x14ac:dyDescent="0.3">
      <c r="A68" s="2"/>
      <c r="B68" s="2"/>
      <c r="C68" s="2"/>
      <c r="D68" s="2"/>
      <c r="E68" s="2"/>
      <c r="F68" s="2"/>
      <c r="G68" s="2"/>
      <c r="H68" s="2">
        <v>115</v>
      </c>
      <c r="I68" s="2" cm="1">
        <f t="array" ref="I68">_xlfn.IFS(H68=115,2,H68=150,2,H68=200,1.5,H68=240,1.5,H68=90,2.2)</f>
        <v>2</v>
      </c>
      <c r="J68" s="2" cm="1">
        <f t="array" ref="J68">+_xlfn.IFS(H68=115,AVERAGE(1.49,1.5,1.05,1.7),H68=150,AVERAGE(1.49,1.5,1.05,1.7),H68=200,AVERAGE(1.15,1.15,0.9,1.3),H68=240,AVERAGE(1.15,1.15,0.9,1.3),H68=90,AVERAGE(1.15,1.15,0.9,1.3))</f>
        <v>1.4350000000000001</v>
      </c>
      <c r="K68" s="1"/>
      <c r="L68" s="2"/>
      <c r="M68" s="20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</row>
    <row r="69" spans="1:138" x14ac:dyDescent="0.3">
      <c r="A69" s="2"/>
      <c r="B69" s="2"/>
      <c r="C69" s="2"/>
      <c r="D69" s="2"/>
      <c r="E69" s="2"/>
      <c r="F69" s="2"/>
      <c r="G69" s="2"/>
      <c r="H69" s="2">
        <v>115</v>
      </c>
      <c r="I69" s="2" cm="1">
        <f t="array" ref="I69">_xlfn.IFS(H69=115,2,H69=150,2,H69=200,1.5,H69=240,1.5,H69=90,2.2)</f>
        <v>2</v>
      </c>
      <c r="J69" s="2" cm="1">
        <f t="array" ref="J69">+_xlfn.IFS(H69=115,AVERAGE(1.49,1.5,1.05,1.7),H69=150,AVERAGE(1.49,1.5,1.05,1.7),H69=200,AVERAGE(1.15,1.15,0.9,1.3),H69=240,AVERAGE(1.15,1.15,0.9,1.3),H69=90,AVERAGE(1.15,1.15,0.9,1.3))</f>
        <v>1.4350000000000001</v>
      </c>
      <c r="K69" s="1"/>
      <c r="L69" s="2"/>
      <c r="M69" s="20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</row>
    <row r="70" spans="1:138" x14ac:dyDescent="0.3">
      <c r="A70" s="2"/>
      <c r="B70" s="2"/>
      <c r="C70" s="2"/>
      <c r="D70" s="2"/>
      <c r="E70" s="2"/>
      <c r="F70" s="2"/>
      <c r="G70" s="2"/>
      <c r="H70" s="2">
        <v>115</v>
      </c>
      <c r="I70" s="2" cm="1">
        <f t="array" ref="I70">_xlfn.IFS(H70=115,2,H70=150,2,H70=200,1.5,H70=240,1.5,H70=90,2.2)</f>
        <v>2</v>
      </c>
      <c r="J70" s="2" cm="1">
        <f t="array" ref="J70">+_xlfn.IFS(H70=115,AVERAGE(1.49,1.5,1.05,1.7),H70=150,AVERAGE(1.49,1.5,1.05,1.7),H70=200,AVERAGE(1.15,1.15,0.9,1.3),H70=240,AVERAGE(1.15,1.15,0.9,1.3),H70=90,AVERAGE(1.15,1.15,0.9,1.3))</f>
        <v>1.4350000000000001</v>
      </c>
      <c r="K70" s="1"/>
      <c r="L70" s="2"/>
      <c r="M70" s="20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</row>
    <row r="71" spans="1:138" x14ac:dyDescent="0.3">
      <c r="A71" s="2"/>
      <c r="B71" s="2"/>
      <c r="C71" s="2"/>
      <c r="D71" s="2"/>
      <c r="E71" s="2"/>
      <c r="F71" s="2"/>
      <c r="G71" s="2"/>
      <c r="H71" s="2">
        <v>115</v>
      </c>
      <c r="I71" s="2" cm="1">
        <f t="array" ref="I71">_xlfn.IFS(H71=115,2,H71=150,2,H71=200,1.5,H71=240,1.5,H71=90,2.2)</f>
        <v>2</v>
      </c>
      <c r="J71" s="2" cm="1">
        <f t="array" ref="J71">+_xlfn.IFS(H71=115,AVERAGE(1.49,1.5,1.05,1.7),H71=150,AVERAGE(1.49,1.5,1.05,1.7),H71=200,AVERAGE(1.15,1.15,0.9,1.3),H71=240,AVERAGE(1.15,1.15,0.9,1.3),H71=90,AVERAGE(1.15,1.15,0.9,1.3))</f>
        <v>1.4350000000000001</v>
      </c>
      <c r="K71" s="1"/>
      <c r="L71" s="2"/>
      <c r="M71" s="20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</row>
    <row r="72" spans="1:138" x14ac:dyDescent="0.3">
      <c r="A72" s="2"/>
      <c r="B72" s="2"/>
      <c r="C72" s="2"/>
      <c r="D72" s="2"/>
      <c r="E72" s="2"/>
      <c r="F72" s="2"/>
      <c r="G72" s="2"/>
      <c r="H72" s="2">
        <v>115</v>
      </c>
      <c r="I72" s="2" cm="1">
        <f t="array" ref="I72">_xlfn.IFS(H72=115,2,H72=150,2,H72=200,1.5,H72=240,1.5,H72=90,2.2)</f>
        <v>2</v>
      </c>
      <c r="J72" s="2" cm="1">
        <f t="array" ref="J72">+_xlfn.IFS(H72=115,AVERAGE(1.49,1.5,1.05,1.7),H72=150,AVERAGE(1.49,1.5,1.05,1.7),H72=200,AVERAGE(1.15,1.15,0.9,1.3),H72=240,AVERAGE(1.15,1.15,0.9,1.3),H72=90,AVERAGE(1.15,1.15,0.9,1.3))</f>
        <v>1.4350000000000001</v>
      </c>
      <c r="K72" s="1"/>
      <c r="L72" s="2"/>
      <c r="M72" s="20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</row>
    <row r="73" spans="1:138" x14ac:dyDescent="0.3">
      <c r="A73" s="2"/>
      <c r="B73" s="2"/>
      <c r="C73" s="2"/>
      <c r="D73" s="2"/>
      <c r="E73" s="2"/>
      <c r="F73" s="2"/>
      <c r="G73" s="2"/>
      <c r="H73" s="2">
        <v>115</v>
      </c>
      <c r="I73" s="2" cm="1">
        <f t="array" ref="I73">_xlfn.IFS(H73=115,2,H73=150,2,H73=200,1.5,H73=240,1.5,H73=90,2.2)</f>
        <v>2</v>
      </c>
      <c r="J73" s="2" cm="1">
        <f t="array" ref="J73">+_xlfn.IFS(H73=115,AVERAGE(1.49,1.5,1.05,1.7),H73=150,AVERAGE(1.49,1.5,1.05,1.7),H73=200,AVERAGE(1.15,1.15,0.9,1.3),H73=240,AVERAGE(1.15,1.15,0.9,1.3),H73=90,AVERAGE(1.15,1.15,0.9,1.3))</f>
        <v>1.4350000000000001</v>
      </c>
      <c r="K73" s="1"/>
      <c r="L73" s="2"/>
      <c r="M73" s="20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</row>
    <row r="74" spans="1:138" x14ac:dyDescent="0.3">
      <c r="A74" s="2"/>
      <c r="B74" s="2"/>
      <c r="C74" s="2"/>
      <c r="D74" s="2"/>
      <c r="E74" s="2"/>
      <c r="F74" s="2"/>
      <c r="G74" s="2"/>
      <c r="H74" s="2">
        <v>115</v>
      </c>
      <c r="I74" s="2" cm="1">
        <f t="array" ref="I74">_xlfn.IFS(H74=115,2,H74=150,2,H74=200,1.5,H74=240,1.5,H74=90,2.2)</f>
        <v>2</v>
      </c>
      <c r="J74" s="2" cm="1">
        <f t="array" ref="J74">+_xlfn.IFS(H74=115,AVERAGE(1.49,1.5,1.05,1.7),H74=150,AVERAGE(1.49,1.5,1.05,1.7),H74=200,AVERAGE(1.15,1.15,0.9,1.3),H74=240,AVERAGE(1.15,1.15,0.9,1.3),H74=90,AVERAGE(1.15,1.15,0.9,1.3))</f>
        <v>1.4350000000000001</v>
      </c>
      <c r="K74" s="1"/>
      <c r="L74" s="2"/>
      <c r="M74" s="20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</row>
    <row r="75" spans="1:138" x14ac:dyDescent="0.3">
      <c r="A75" s="2"/>
      <c r="B75" s="2"/>
      <c r="C75" s="2"/>
      <c r="D75" s="2"/>
      <c r="E75" s="2"/>
      <c r="F75" s="2"/>
      <c r="G75" s="2"/>
      <c r="H75" s="2">
        <v>115</v>
      </c>
      <c r="I75" s="2" cm="1">
        <f t="array" ref="I75">_xlfn.IFS(H75=115,2,H75=150,2,H75=200,1.5,H75=240,1.5,H75=90,2.2)</f>
        <v>2</v>
      </c>
      <c r="J75" s="2" cm="1">
        <f t="array" ref="J75">+_xlfn.IFS(H75=115,AVERAGE(1.49,1.5,1.05,1.7),H75=150,AVERAGE(1.49,1.5,1.05,1.7),H75=200,AVERAGE(1.15,1.15,0.9,1.3),H75=240,AVERAGE(1.15,1.15,0.9,1.3),H75=90,AVERAGE(1.15,1.15,0.9,1.3))</f>
        <v>1.4350000000000001</v>
      </c>
      <c r="K75" s="1"/>
      <c r="L75" s="2"/>
      <c r="M75" s="20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</row>
    <row r="76" spans="1:138" x14ac:dyDescent="0.3">
      <c r="A76" s="2"/>
      <c r="B76" s="2"/>
      <c r="C76" s="2"/>
      <c r="D76" s="2"/>
      <c r="E76" s="2"/>
      <c r="F76" s="2"/>
      <c r="G76" s="2"/>
      <c r="H76" s="2">
        <v>115</v>
      </c>
      <c r="I76" s="2" cm="1">
        <f t="array" ref="I76">_xlfn.IFS(H76=115,2,H76=150,2,H76=200,1.5,H76=240,1.5,H76=90,2.2)</f>
        <v>2</v>
      </c>
      <c r="J76" s="2" cm="1">
        <f t="array" ref="J76">+_xlfn.IFS(H76=115,AVERAGE(1.49,1.5,1.05,1.7),H76=150,AVERAGE(1.49,1.5,1.05,1.7),H76=200,AVERAGE(1.15,1.15,0.9,1.3),H76=240,AVERAGE(1.15,1.15,0.9,1.3),H76=90,AVERAGE(1.15,1.15,0.9,1.3))</f>
        <v>1.4350000000000001</v>
      </c>
      <c r="K76" s="1"/>
      <c r="L76" s="2"/>
      <c r="M76" s="20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</row>
    <row r="77" spans="1:138" x14ac:dyDescent="0.3">
      <c r="A77" s="2"/>
      <c r="B77" s="2"/>
      <c r="C77" s="2"/>
      <c r="D77" s="2"/>
      <c r="E77" s="2"/>
      <c r="F77" s="2"/>
      <c r="G77" s="2"/>
      <c r="H77" s="2">
        <v>115</v>
      </c>
      <c r="I77" s="2" cm="1">
        <f t="array" ref="I77">_xlfn.IFS(H77=115,2,H77=150,2,H77=200,1.5,H77=240,1.5,H77=90,2.2)</f>
        <v>2</v>
      </c>
      <c r="J77" s="2" cm="1">
        <f t="array" ref="J77">+_xlfn.IFS(H77=115,AVERAGE(1.49,1.5,1.05,1.7),H77=150,AVERAGE(1.49,1.5,1.05,1.7),H77=200,AVERAGE(1.15,1.15,0.9,1.3),H77=240,AVERAGE(1.15,1.15,0.9,1.3),H77=90,AVERAGE(1.15,1.15,0.9,1.3))</f>
        <v>1.4350000000000001</v>
      </c>
      <c r="K77" s="1"/>
      <c r="L77" s="2"/>
      <c r="M77" s="20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</row>
    <row r="78" spans="1:138" x14ac:dyDescent="0.3">
      <c r="A78" s="2"/>
      <c r="B78" s="2"/>
      <c r="C78" s="2"/>
      <c r="D78" s="2"/>
      <c r="E78" s="2"/>
      <c r="F78" s="2"/>
      <c r="G78" s="2"/>
      <c r="H78" s="2">
        <v>115</v>
      </c>
      <c r="I78" s="2" cm="1">
        <f t="array" ref="I78">_xlfn.IFS(H78=115,2,H78=150,2,H78=200,1.5,H78=240,1.5,H78=90,2.2)</f>
        <v>2</v>
      </c>
      <c r="J78" s="2" cm="1">
        <f t="array" ref="J78">+_xlfn.IFS(H78=115,AVERAGE(1.49,1.5,1.05,1.7),H78=150,AVERAGE(1.49,1.5,1.05,1.7),H78=200,AVERAGE(1.15,1.15,0.9,1.3),H78=240,AVERAGE(1.15,1.15,0.9,1.3),H78=90,AVERAGE(1.15,1.15,0.9,1.3))</f>
        <v>1.4350000000000001</v>
      </c>
      <c r="K78" s="1"/>
      <c r="L78" s="2"/>
      <c r="M78" s="20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</row>
    <row r="79" spans="1:138" x14ac:dyDescent="0.3">
      <c r="A79" s="2"/>
      <c r="B79" s="2"/>
      <c r="C79" s="2"/>
      <c r="D79" s="2"/>
      <c r="E79" s="2"/>
      <c r="F79" s="2"/>
      <c r="G79" s="2"/>
      <c r="H79" s="2">
        <v>115</v>
      </c>
      <c r="I79" s="2" cm="1">
        <f t="array" ref="I79">_xlfn.IFS(H79=115,2,H79=150,2,H79=200,1.5,H79=240,1.5,H79=90,2.2)</f>
        <v>2</v>
      </c>
      <c r="J79" s="2" cm="1">
        <f t="array" ref="J79">+_xlfn.IFS(H79=115,AVERAGE(1.49,1.5,1.05,1.7),H79=150,AVERAGE(1.49,1.5,1.05,1.7),H79=200,AVERAGE(1.15,1.15,0.9,1.3),H79=240,AVERAGE(1.15,1.15,0.9,1.3),H79=90,AVERAGE(1.15,1.15,0.9,1.3))</f>
        <v>1.4350000000000001</v>
      </c>
      <c r="K79" s="1"/>
      <c r="L79" s="2"/>
      <c r="M79" s="20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</row>
    <row r="80" spans="1:138" x14ac:dyDescent="0.3">
      <c r="A80" s="2"/>
      <c r="B80" s="2"/>
      <c r="C80" s="2"/>
      <c r="D80" s="2"/>
      <c r="E80" s="2"/>
      <c r="F80" s="2"/>
      <c r="G80" s="2"/>
      <c r="H80" s="2">
        <v>115</v>
      </c>
      <c r="I80" s="2" cm="1">
        <f t="array" ref="I80">_xlfn.IFS(H80=115,2,H80=150,2,H80=200,1.5,H80=240,1.5,H80=90,2.2)</f>
        <v>2</v>
      </c>
      <c r="J80" s="2" cm="1">
        <f t="array" ref="J80">+_xlfn.IFS(H80=115,AVERAGE(1.49,1.5,1.05,1.7),H80=150,AVERAGE(1.49,1.5,1.05,1.7),H80=200,AVERAGE(1.15,1.15,0.9,1.3),H80=240,AVERAGE(1.15,1.15,0.9,1.3),H80=90,AVERAGE(1.15,1.15,0.9,1.3))</f>
        <v>1.4350000000000001</v>
      </c>
      <c r="K80" s="1"/>
      <c r="L80" s="2"/>
      <c r="M80" s="20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</row>
    <row r="81" spans="1:138" x14ac:dyDescent="0.3">
      <c r="A81" s="2"/>
      <c r="B81" s="2"/>
      <c r="C81" s="2"/>
      <c r="D81" s="2"/>
      <c r="E81" s="2"/>
      <c r="F81" s="2"/>
      <c r="G81" s="2"/>
      <c r="H81" s="2">
        <v>115</v>
      </c>
      <c r="I81" s="2" cm="1">
        <f t="array" ref="I81">_xlfn.IFS(H81=115,2,H81=150,2,H81=200,1.5,H81=240,1.5,H81=90,2.2)</f>
        <v>2</v>
      </c>
      <c r="J81" s="2" cm="1">
        <f t="array" ref="J81">+_xlfn.IFS(H81=115,AVERAGE(1.49,1.5,1.05,1.7),H81=150,AVERAGE(1.49,1.5,1.05,1.7),H81=200,AVERAGE(1.15,1.15,0.9,1.3),H81=240,AVERAGE(1.15,1.15,0.9,1.3),H81=90,AVERAGE(1.15,1.15,0.9,1.3))</f>
        <v>1.4350000000000001</v>
      </c>
      <c r="K81" s="1"/>
      <c r="L81" s="2"/>
      <c r="M81" s="20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</row>
    <row r="82" spans="1:138" x14ac:dyDescent="0.3">
      <c r="A82" s="2"/>
      <c r="B82" s="2"/>
      <c r="C82" s="2"/>
      <c r="D82" s="2"/>
      <c r="E82" s="2"/>
      <c r="F82" s="2"/>
      <c r="G82" s="2"/>
      <c r="H82" s="2">
        <v>115</v>
      </c>
      <c r="I82" s="2" cm="1">
        <f t="array" ref="I82">_xlfn.IFS(H82=115,2,H82=150,2,H82=200,1.5,H82=240,1.5,H82=90,2.2)</f>
        <v>2</v>
      </c>
      <c r="J82" s="2" cm="1">
        <f t="array" ref="J82">+_xlfn.IFS(H82=115,AVERAGE(1.49,1.5,1.05,1.7),H82=150,AVERAGE(1.49,1.5,1.05,1.7),H82=200,AVERAGE(1.15,1.15,0.9,1.3),H82=240,AVERAGE(1.15,1.15,0.9,1.3),H82=90,AVERAGE(1.15,1.15,0.9,1.3))</f>
        <v>1.4350000000000001</v>
      </c>
      <c r="K82" s="1"/>
      <c r="L82" s="2"/>
      <c r="M82" s="20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</row>
    <row r="83" spans="1:138" x14ac:dyDescent="0.3">
      <c r="A83" s="2"/>
      <c r="B83" s="2"/>
      <c r="C83" s="2"/>
      <c r="D83" s="2"/>
      <c r="E83" s="2"/>
      <c r="F83" s="2"/>
      <c r="G83" s="2"/>
      <c r="H83" s="2">
        <v>115</v>
      </c>
      <c r="I83" s="2" cm="1">
        <f t="array" ref="I83">_xlfn.IFS(H83=115,2,H83=150,2,H83=200,1.5,H83=240,1.5,H83=90,2.2)</f>
        <v>2</v>
      </c>
      <c r="J83" s="2" cm="1">
        <f t="array" ref="J83">+_xlfn.IFS(H83=115,AVERAGE(1.49,1.5,1.05,1.7),H83=150,AVERAGE(1.49,1.5,1.05,1.7),H83=200,AVERAGE(1.15,1.15,0.9,1.3),H83=240,AVERAGE(1.15,1.15,0.9,1.3),H83=90,AVERAGE(1.15,1.15,0.9,1.3))</f>
        <v>1.4350000000000001</v>
      </c>
      <c r="K83" s="1"/>
      <c r="L83" s="2"/>
      <c r="M83" s="20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</row>
    <row r="84" spans="1:138" x14ac:dyDescent="0.3">
      <c r="A84" s="2"/>
      <c r="B84" s="2"/>
      <c r="C84" s="2"/>
      <c r="D84" s="2"/>
      <c r="E84" s="2"/>
      <c r="F84" s="2"/>
      <c r="G84" s="2"/>
      <c r="H84" s="2">
        <v>115</v>
      </c>
      <c r="I84" s="2" cm="1">
        <f t="array" ref="I84">_xlfn.IFS(H84=115,2,H84=150,2,H84=200,1.5,H84=240,1.5,H84=90,2.2)</f>
        <v>2</v>
      </c>
      <c r="J84" s="2" cm="1">
        <f t="array" ref="J84">+_xlfn.IFS(H84=115,AVERAGE(1.49,1.5,1.05,1.7),H84=150,AVERAGE(1.49,1.5,1.05,1.7),H84=200,AVERAGE(1.15,1.15,0.9,1.3),H84=240,AVERAGE(1.15,1.15,0.9,1.3),H84=90,AVERAGE(1.15,1.15,0.9,1.3))</f>
        <v>1.4350000000000001</v>
      </c>
      <c r="K84" s="1"/>
      <c r="L84" s="2"/>
      <c r="M84" s="20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</row>
    <row r="85" spans="1:138" x14ac:dyDescent="0.3">
      <c r="A85" s="2"/>
      <c r="B85" s="2"/>
      <c r="C85" s="2"/>
      <c r="D85" s="2"/>
      <c r="E85" s="2"/>
      <c r="F85" s="2"/>
      <c r="G85" s="2"/>
      <c r="H85" s="2">
        <v>115</v>
      </c>
      <c r="I85" s="2" cm="1">
        <f t="array" ref="I85">_xlfn.IFS(H85=115,2,H85=150,2,H85=200,1.5,H85=240,1.5,H85=90,2.2)</f>
        <v>2</v>
      </c>
      <c r="J85" s="2" cm="1">
        <f t="array" ref="J85">+_xlfn.IFS(H85=115,AVERAGE(1.49,1.5,1.05,1.7),H85=150,AVERAGE(1.49,1.5,1.05,1.7),H85=200,AVERAGE(1.15,1.15,0.9,1.3),H85=240,AVERAGE(1.15,1.15,0.9,1.3),H85=90,AVERAGE(1.15,1.15,0.9,1.3))</f>
        <v>1.4350000000000001</v>
      </c>
      <c r="K85" s="1"/>
      <c r="L85" s="2"/>
      <c r="M85" s="20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</row>
    <row r="86" spans="1:138" x14ac:dyDescent="0.3">
      <c r="A86" s="2"/>
      <c r="B86" s="2"/>
      <c r="C86" s="2"/>
      <c r="D86" s="2"/>
      <c r="E86" s="2"/>
      <c r="F86" s="2"/>
      <c r="G86" s="2"/>
      <c r="H86" s="2">
        <v>115</v>
      </c>
      <c r="I86" s="2" cm="1">
        <f t="array" ref="I86">_xlfn.IFS(H86=115,2,H86=150,2,H86=200,1.5,H86=240,1.5,H86=90,2.2)</f>
        <v>2</v>
      </c>
      <c r="J86" s="2" cm="1">
        <f t="array" ref="J86">+_xlfn.IFS(H86=115,AVERAGE(1.49,1.5,1.05,1.7),H86=150,AVERAGE(1.49,1.5,1.05,1.7),H86=200,AVERAGE(1.15,1.15,0.9,1.3),H86=240,AVERAGE(1.15,1.15,0.9,1.3),H86=90,AVERAGE(1.15,1.15,0.9,1.3))</f>
        <v>1.4350000000000001</v>
      </c>
      <c r="K86" s="1"/>
      <c r="L86" s="2"/>
      <c r="M86" s="20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</row>
    <row r="87" spans="1:138" x14ac:dyDescent="0.3">
      <c r="A87" s="2"/>
      <c r="B87" s="2"/>
      <c r="C87" s="2"/>
      <c r="D87" s="2"/>
      <c r="E87" s="2"/>
      <c r="F87" s="2"/>
      <c r="G87" s="2"/>
      <c r="H87" s="2">
        <v>115</v>
      </c>
      <c r="I87" s="2" cm="1">
        <f t="array" ref="I87">_xlfn.IFS(H87=115,2,H87=150,2,H87=200,1.5,H87=240,1.5,H87=90,2.2)</f>
        <v>2</v>
      </c>
      <c r="J87" s="2" cm="1">
        <f t="array" ref="J87">+_xlfn.IFS(H87=115,AVERAGE(1.49,1.5,1.05,1.7),H87=150,AVERAGE(1.49,1.5,1.05,1.7),H87=200,AVERAGE(1.15,1.15,0.9,1.3),H87=240,AVERAGE(1.15,1.15,0.9,1.3),H87=90,AVERAGE(1.15,1.15,0.9,1.3))</f>
        <v>1.4350000000000001</v>
      </c>
      <c r="K87" s="1"/>
      <c r="L87" s="2"/>
      <c r="M87" s="20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</row>
    <row r="88" spans="1:138" x14ac:dyDescent="0.3">
      <c r="A88" s="2"/>
      <c r="B88" s="2"/>
      <c r="C88" s="2"/>
      <c r="D88" s="2"/>
      <c r="E88" s="2"/>
      <c r="F88" s="2"/>
      <c r="G88" s="2"/>
      <c r="H88" s="2">
        <v>115</v>
      </c>
      <c r="I88" s="2" cm="1">
        <f t="array" ref="I88">_xlfn.IFS(H88=115,2,H88=150,2,H88=200,1.5,H88=240,1.5,H88=90,2.2)</f>
        <v>2</v>
      </c>
      <c r="J88" s="2" cm="1">
        <f t="array" ref="J88">+_xlfn.IFS(H88=115,AVERAGE(1.49,1.5,1.05,1.7),H88=150,AVERAGE(1.49,1.5,1.05,1.7),H88=200,AVERAGE(1.15,1.15,0.9,1.3),H88=240,AVERAGE(1.15,1.15,0.9,1.3),H88=90,AVERAGE(1.15,1.15,0.9,1.3))</f>
        <v>1.4350000000000001</v>
      </c>
      <c r="K88" s="1"/>
      <c r="L88" s="2"/>
      <c r="M88" s="20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</row>
    <row r="89" spans="1:138" x14ac:dyDescent="0.3">
      <c r="A89" s="2"/>
      <c r="B89" s="2"/>
      <c r="C89" s="2"/>
      <c r="D89" s="2"/>
      <c r="E89" s="2"/>
      <c r="F89" s="2"/>
      <c r="G89" s="2"/>
      <c r="H89" s="2">
        <v>115</v>
      </c>
      <c r="I89" s="2" cm="1">
        <f t="array" ref="I89">_xlfn.IFS(H89=115,2,H89=150,2,H89=200,1.5,H89=240,1.5,H89=90,2.2)</f>
        <v>2</v>
      </c>
      <c r="J89" s="2" cm="1">
        <f t="array" ref="J89">+_xlfn.IFS(H89=115,AVERAGE(1.49,1.5,1.05,1.7),H89=150,AVERAGE(1.49,1.5,1.05,1.7),H89=200,AVERAGE(1.15,1.15,0.9,1.3),H89=240,AVERAGE(1.15,1.15,0.9,1.3),H89=90,AVERAGE(1.15,1.15,0.9,1.3))</f>
        <v>1.4350000000000001</v>
      </c>
      <c r="K89" s="1"/>
      <c r="L89" s="2"/>
      <c r="M89" s="20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</row>
    <row r="90" spans="1:138" x14ac:dyDescent="0.3">
      <c r="A90" s="2"/>
      <c r="B90" s="2"/>
      <c r="C90" s="2"/>
      <c r="D90" s="2"/>
      <c r="E90" s="2"/>
      <c r="F90" s="2"/>
      <c r="G90" s="2"/>
      <c r="H90" s="2">
        <v>115</v>
      </c>
      <c r="I90" s="2" cm="1">
        <f t="array" ref="I90">_xlfn.IFS(H90=115,2,H90=150,2,H90=200,1.5,H90=240,1.5,H90=90,2.2)</f>
        <v>2</v>
      </c>
      <c r="J90" s="2" cm="1">
        <f t="array" ref="J90">+_xlfn.IFS(H90=115,AVERAGE(1.49,1.5,1.05,1.7),H90=150,AVERAGE(1.49,1.5,1.05,1.7),H90=200,AVERAGE(1.15,1.15,0.9,1.3),H90=240,AVERAGE(1.15,1.15,0.9,1.3),H90=90,AVERAGE(1.15,1.15,0.9,1.3))</f>
        <v>1.4350000000000001</v>
      </c>
      <c r="K90" s="1"/>
      <c r="L90" s="2"/>
      <c r="M90" s="20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</row>
    <row r="91" spans="1:138" x14ac:dyDescent="0.3">
      <c r="A91" s="2"/>
      <c r="B91" s="2"/>
      <c r="C91" s="2"/>
      <c r="D91" s="2"/>
      <c r="E91" s="2"/>
      <c r="F91" s="2"/>
      <c r="G91" s="2"/>
      <c r="H91" s="2">
        <v>115</v>
      </c>
      <c r="I91" s="2" cm="1">
        <f t="array" ref="I91">_xlfn.IFS(H91=115,2,H91=150,2,H91=200,1.5,H91=240,1.5,H91=90,2.2)</f>
        <v>2</v>
      </c>
      <c r="J91" s="2" cm="1">
        <f t="array" ref="J91">+_xlfn.IFS(H91=115,AVERAGE(1.49,1.5,1.05,1.7),H91=150,AVERAGE(1.49,1.5,1.05,1.7),H91=200,AVERAGE(1.15,1.15,0.9,1.3),H91=240,AVERAGE(1.15,1.15,0.9,1.3),H91=90,AVERAGE(1.15,1.15,0.9,1.3))</f>
        <v>1.4350000000000001</v>
      </c>
      <c r="K91" s="1"/>
      <c r="L91" s="2"/>
      <c r="M91" s="20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</row>
    <row r="92" spans="1:138" x14ac:dyDescent="0.3">
      <c r="A92" s="2"/>
      <c r="B92" s="2"/>
      <c r="C92" s="2"/>
      <c r="D92" s="2"/>
      <c r="E92" s="2"/>
      <c r="F92" s="2"/>
      <c r="G92" s="2"/>
      <c r="H92" s="2">
        <v>115</v>
      </c>
      <c r="I92" s="2" cm="1">
        <f t="array" ref="I92">_xlfn.IFS(H92=115,2,H92=150,2,H92=200,1.5,H92=240,1.5,H92=90,2.2)</f>
        <v>2</v>
      </c>
      <c r="J92" s="2" cm="1">
        <f t="array" ref="J92">+_xlfn.IFS(H92=115,AVERAGE(1.49,1.5,1.05,1.7),H92=150,AVERAGE(1.49,1.5,1.05,1.7),H92=200,AVERAGE(1.15,1.15,0.9,1.3),H92=240,AVERAGE(1.15,1.15,0.9,1.3),H92=90,AVERAGE(1.15,1.15,0.9,1.3))</f>
        <v>1.4350000000000001</v>
      </c>
      <c r="K92" s="1"/>
      <c r="L92" s="2"/>
      <c r="M92" s="20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</row>
    <row r="93" spans="1:138" x14ac:dyDescent="0.3">
      <c r="A93" s="2"/>
      <c r="B93" s="2"/>
      <c r="C93" s="2"/>
      <c r="D93" s="2"/>
      <c r="E93" s="2"/>
      <c r="F93" s="2"/>
      <c r="G93" s="2"/>
      <c r="H93" s="2">
        <v>115</v>
      </c>
      <c r="I93" s="2" cm="1">
        <f t="array" ref="I93">_xlfn.IFS(H93=115,2,H93=150,2,H93=200,1.5,H93=240,1.5,H93=90,2.2)</f>
        <v>2</v>
      </c>
      <c r="J93" s="2" cm="1">
        <f t="array" ref="J93">+_xlfn.IFS(H93=115,AVERAGE(1.49,1.5,1.05,1.7),H93=150,AVERAGE(1.49,1.5,1.05,1.7),H93=200,AVERAGE(1.15,1.15,0.9,1.3),H93=240,AVERAGE(1.15,1.15,0.9,1.3),H93=90,AVERAGE(1.15,1.15,0.9,1.3))</f>
        <v>1.4350000000000001</v>
      </c>
      <c r="K93" s="1"/>
      <c r="L93" s="2"/>
      <c r="M93" s="20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</row>
    <row r="94" spans="1:138" x14ac:dyDescent="0.3">
      <c r="A94" s="2"/>
      <c r="B94" s="2"/>
      <c r="C94" s="2"/>
      <c r="D94" s="2"/>
      <c r="E94" s="2"/>
      <c r="F94" s="2"/>
      <c r="G94" s="2"/>
      <c r="H94" s="2">
        <v>115</v>
      </c>
      <c r="I94" s="2" cm="1">
        <f t="array" ref="I94">_xlfn.IFS(H94=115,2,H94=150,2,H94=200,1.5,H94=240,1.5,H94=90,2.2)</f>
        <v>2</v>
      </c>
      <c r="J94" s="2" cm="1">
        <f t="array" ref="J94">+_xlfn.IFS(H94=115,AVERAGE(1.49,1.5,1.05,1.7),H94=150,AVERAGE(1.49,1.5,1.05,1.7),H94=200,AVERAGE(1.15,1.15,0.9,1.3),H94=240,AVERAGE(1.15,1.15,0.9,1.3),H94=90,AVERAGE(1.15,1.15,0.9,1.3))</f>
        <v>1.4350000000000001</v>
      </c>
      <c r="K94" s="1"/>
      <c r="L94" s="2"/>
      <c r="M94" s="20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</row>
    <row r="95" spans="1:138" x14ac:dyDescent="0.3">
      <c r="A95" s="2"/>
      <c r="B95" s="2"/>
      <c r="C95" s="2"/>
      <c r="D95" s="2"/>
      <c r="E95" s="2"/>
      <c r="F95" s="2"/>
      <c r="G95" s="2"/>
      <c r="H95" s="2">
        <v>115</v>
      </c>
      <c r="I95" s="2" cm="1">
        <f t="array" ref="I95">_xlfn.IFS(H95=115,2,H95=150,2,H95=200,1.5,H95=240,1.5,H95=90,2.2)</f>
        <v>2</v>
      </c>
      <c r="J95" s="2" cm="1">
        <f t="array" ref="J95">+_xlfn.IFS(H95=115,AVERAGE(1.49,1.5,1.05,1.7),H95=150,AVERAGE(1.49,1.5,1.05,1.7),H95=200,AVERAGE(1.15,1.15,0.9,1.3),H95=240,AVERAGE(1.15,1.15,0.9,1.3),H95=90,AVERAGE(1.15,1.15,0.9,1.3))</f>
        <v>1.4350000000000001</v>
      </c>
      <c r="K95" s="1"/>
      <c r="L95" s="2"/>
      <c r="M95" s="20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</row>
    <row r="96" spans="1:138" x14ac:dyDescent="0.3">
      <c r="A96" s="2"/>
      <c r="B96" s="2"/>
      <c r="C96" s="2"/>
      <c r="D96" s="2"/>
      <c r="E96" s="2"/>
      <c r="F96" s="2"/>
      <c r="G96" s="2"/>
      <c r="H96" s="2">
        <v>115</v>
      </c>
      <c r="I96" s="2" cm="1">
        <f t="array" ref="I96">_xlfn.IFS(H96=115,2,H96=150,2,H96=200,1.5,H96=240,1.5,H96=90,2.2)</f>
        <v>2</v>
      </c>
      <c r="J96" s="2" cm="1">
        <f t="array" ref="J96">+_xlfn.IFS(H96=115,AVERAGE(1.49,1.5,1.05,1.7),H96=150,AVERAGE(1.49,1.5,1.05,1.7),H96=200,AVERAGE(1.15,1.15,0.9,1.3),H96=240,AVERAGE(1.15,1.15,0.9,1.3),H96=90,AVERAGE(1.15,1.15,0.9,1.3))</f>
        <v>1.4350000000000001</v>
      </c>
      <c r="K96" s="1"/>
      <c r="L96" s="2"/>
      <c r="M96" s="20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</row>
    <row r="97" spans="1:138" x14ac:dyDescent="0.3">
      <c r="A97" s="2"/>
      <c r="B97" s="2"/>
      <c r="C97" s="2"/>
      <c r="D97" s="2"/>
      <c r="E97" s="2"/>
      <c r="F97" s="2"/>
      <c r="G97" s="2"/>
      <c r="H97" s="2">
        <v>115</v>
      </c>
      <c r="I97" s="2" cm="1">
        <f t="array" ref="I97">_xlfn.IFS(H97=115,2,H97=150,2,H97=200,1.5,H97=240,1.5,H97=90,2.2)</f>
        <v>2</v>
      </c>
      <c r="J97" s="2" cm="1">
        <f t="array" ref="J97">+_xlfn.IFS(H97=115,AVERAGE(1.49,1.5,1.05,1.7),H97=150,AVERAGE(1.49,1.5,1.05,1.7),H97=200,AVERAGE(1.15,1.15,0.9,1.3),H97=240,AVERAGE(1.15,1.15,0.9,1.3),H97=90,AVERAGE(1.15,1.15,0.9,1.3))</f>
        <v>1.4350000000000001</v>
      </c>
      <c r="K97" s="1"/>
      <c r="L97" s="2"/>
      <c r="M97" s="20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</row>
    <row r="98" spans="1:138" x14ac:dyDescent="0.3">
      <c r="A98" s="2"/>
      <c r="B98" s="2"/>
      <c r="C98" s="2"/>
      <c r="D98" s="2"/>
      <c r="E98" s="2"/>
      <c r="F98" s="2"/>
      <c r="G98" s="2"/>
      <c r="H98" s="2">
        <v>115</v>
      </c>
      <c r="I98" s="2" cm="1">
        <f t="array" ref="I98">_xlfn.IFS(H98=115,2,H98=150,2,H98=200,1.5,H98=240,1.5,H98=90,2.2)</f>
        <v>2</v>
      </c>
      <c r="J98" s="2" cm="1">
        <f t="array" ref="J98">+_xlfn.IFS(H98=115,AVERAGE(1.49,1.5,1.05,1.7),H98=150,AVERAGE(1.49,1.5,1.05,1.7),H98=200,AVERAGE(1.15,1.15,0.9,1.3),H98=240,AVERAGE(1.15,1.15,0.9,1.3),H98=90,AVERAGE(1.15,1.15,0.9,1.3))</f>
        <v>1.4350000000000001</v>
      </c>
      <c r="K98" s="1"/>
      <c r="L98" s="2"/>
      <c r="M98" s="20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</row>
    <row r="99" spans="1:138" x14ac:dyDescent="0.3">
      <c r="A99" s="2"/>
      <c r="B99" s="2"/>
      <c r="C99" s="2"/>
      <c r="D99" s="2"/>
      <c r="E99" s="2"/>
      <c r="F99" s="2"/>
      <c r="G99" s="2"/>
      <c r="H99" s="2">
        <v>115</v>
      </c>
      <c r="I99" s="2" cm="1">
        <f t="array" ref="I99">_xlfn.IFS(H99=115,2,H99=150,2,H99=200,1.5,H99=240,1.5,H99=90,2.2)</f>
        <v>2</v>
      </c>
      <c r="J99" s="2" cm="1">
        <f t="array" ref="J99">+_xlfn.IFS(H99=115,AVERAGE(1.49,1.5,1.05,1.7),H99=150,AVERAGE(1.49,1.5,1.05,1.7),H99=200,AVERAGE(1.15,1.15,0.9,1.3),H99=240,AVERAGE(1.15,1.15,0.9,1.3),H99=90,AVERAGE(1.15,1.15,0.9,1.3))</f>
        <v>1.4350000000000001</v>
      </c>
      <c r="K99" s="1"/>
      <c r="L99" s="2"/>
      <c r="M99" s="20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</row>
    <row r="100" spans="1:138" x14ac:dyDescent="0.3">
      <c r="A100" s="2"/>
      <c r="B100" s="2"/>
      <c r="C100" s="2"/>
      <c r="D100" s="2"/>
      <c r="E100" s="2"/>
      <c r="F100" s="2"/>
      <c r="G100" s="2"/>
      <c r="H100" s="2">
        <v>115</v>
      </c>
      <c r="I100" s="2" cm="1">
        <f t="array" ref="I100">_xlfn.IFS(H100=115,2,H100=150,2,H100=200,1.5,H100=240,1.5,H100=90,2.2)</f>
        <v>2</v>
      </c>
      <c r="J100" s="2" cm="1">
        <f t="array" ref="J100">+_xlfn.IFS(H100=115,AVERAGE(1.49,1.5,1.05,1.7),H100=150,AVERAGE(1.49,1.5,1.05,1.7),H100=200,AVERAGE(1.15,1.15,0.9,1.3),H100=240,AVERAGE(1.15,1.15,0.9,1.3),H100=90,AVERAGE(1.15,1.15,0.9,1.3))</f>
        <v>1.4350000000000001</v>
      </c>
      <c r="K100" s="1"/>
      <c r="L100" s="2"/>
      <c r="M100" s="20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</row>
    <row r="101" spans="1:138" x14ac:dyDescent="0.3">
      <c r="A101" s="2"/>
      <c r="B101" s="2"/>
      <c r="C101" s="2"/>
      <c r="D101" s="2"/>
      <c r="E101" s="2"/>
      <c r="F101" s="2"/>
      <c r="G101" s="2"/>
      <c r="H101" s="2">
        <v>115</v>
      </c>
      <c r="I101" s="2" cm="1">
        <f t="array" ref="I101">_xlfn.IFS(H101=115,2,H101=150,2,H101=200,1.5,H101=240,1.5,H101=90,2.2)</f>
        <v>2</v>
      </c>
      <c r="J101" s="2" cm="1">
        <f t="array" ref="J101">+_xlfn.IFS(H101=115,AVERAGE(1.49,1.5,1.05,1.7),H101=150,AVERAGE(1.49,1.5,1.05,1.7),H101=200,AVERAGE(1.15,1.15,0.9,1.3),H101=240,AVERAGE(1.15,1.15,0.9,1.3),H101=90,AVERAGE(1.15,1.15,0.9,1.3))</f>
        <v>1.4350000000000001</v>
      </c>
      <c r="K101" s="1"/>
      <c r="L101" s="2"/>
      <c r="M101" s="20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</row>
    <row r="102" spans="1:138" x14ac:dyDescent="0.3">
      <c r="A102" s="2"/>
      <c r="B102" s="2"/>
      <c r="C102" s="2"/>
      <c r="D102" s="2"/>
      <c r="E102" s="2"/>
      <c r="F102" s="2"/>
      <c r="G102" s="2"/>
      <c r="H102" s="2">
        <v>115</v>
      </c>
      <c r="I102" s="2" cm="1">
        <f t="array" ref="I102">_xlfn.IFS(H102=115,2,H102=150,2,H102=200,1.5,H102=240,1.5,H102=90,2.2)</f>
        <v>2</v>
      </c>
      <c r="J102" s="2" cm="1">
        <f t="array" ref="J102">+_xlfn.IFS(H102=115,AVERAGE(1.49,1.5,1.05,1.7),H102=150,AVERAGE(1.49,1.5,1.05,1.7),H102=200,AVERAGE(1.15,1.15,0.9,1.3),H102=240,AVERAGE(1.15,1.15,0.9,1.3),H102=90,AVERAGE(1.15,1.15,0.9,1.3))</f>
        <v>1.4350000000000001</v>
      </c>
      <c r="K102" s="1"/>
      <c r="L102" s="2"/>
      <c r="M102" s="20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</row>
    <row r="103" spans="1:138" x14ac:dyDescent="0.3">
      <c r="A103" s="2"/>
      <c r="B103" s="2"/>
      <c r="C103" s="2"/>
      <c r="D103" s="2"/>
      <c r="E103" s="2"/>
      <c r="F103" s="2"/>
      <c r="G103" s="2"/>
      <c r="H103" s="2">
        <v>115</v>
      </c>
      <c r="I103" s="2" cm="1">
        <f t="array" ref="I103">_xlfn.IFS(H103=115,2,H103=150,2,H103=200,1.5,H103=240,1.5,H103=90,2.2)</f>
        <v>2</v>
      </c>
      <c r="J103" s="2" cm="1">
        <f t="array" ref="J103">+_xlfn.IFS(H103=115,AVERAGE(1.49,1.5,1.05,1.7),H103=150,AVERAGE(1.49,1.5,1.05,1.7),H103=200,AVERAGE(1.15,1.15,0.9,1.3),H103=240,AVERAGE(1.15,1.15,0.9,1.3),H103=90,AVERAGE(1.15,1.15,0.9,1.3))</f>
        <v>1.4350000000000001</v>
      </c>
      <c r="K103" s="1"/>
      <c r="L103" s="2"/>
      <c r="M103" s="20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</row>
    <row r="104" spans="1:138" x14ac:dyDescent="0.3">
      <c r="A104" s="2"/>
      <c r="B104" s="2"/>
      <c r="C104" s="2"/>
      <c r="D104" s="2"/>
      <c r="E104" s="2"/>
      <c r="F104" s="2"/>
      <c r="G104" s="2"/>
      <c r="H104" s="2">
        <v>115</v>
      </c>
      <c r="I104" s="2" cm="1">
        <f t="array" ref="I104">_xlfn.IFS(H104=115,2,H104=150,2,H104=200,1.5,H104=240,1.5,H104=90,2.2)</f>
        <v>2</v>
      </c>
      <c r="J104" s="2" cm="1">
        <f t="array" ref="J104">+_xlfn.IFS(H104=115,AVERAGE(1.49,1.5,1.05,1.7),H104=150,AVERAGE(1.49,1.5,1.05,1.7),H104=200,AVERAGE(1.15,1.15,0.9,1.3),H104=240,AVERAGE(1.15,1.15,0.9,1.3),H104=90,AVERAGE(1.15,1.15,0.9,1.3))</f>
        <v>1.4350000000000001</v>
      </c>
      <c r="K104" s="1"/>
      <c r="L104" s="2"/>
      <c r="M104" s="20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</row>
    <row r="105" spans="1:138" x14ac:dyDescent="0.3">
      <c r="A105" s="2"/>
      <c r="B105" s="2"/>
      <c r="C105" s="2"/>
      <c r="D105" s="2"/>
      <c r="E105" s="2"/>
      <c r="F105" s="2"/>
      <c r="G105" s="2"/>
      <c r="H105" s="2">
        <v>115</v>
      </c>
      <c r="I105" s="2" cm="1">
        <f t="array" ref="I105">_xlfn.IFS(H105=115,2,H105=150,2,H105=200,1.5,H105=240,1.5,H105=90,2.2)</f>
        <v>2</v>
      </c>
      <c r="J105" s="2" cm="1">
        <f t="array" ref="J105">+_xlfn.IFS(H105=115,AVERAGE(1.49,1.5,1.05,1.7),H105=150,AVERAGE(1.49,1.5,1.05,1.7),H105=200,AVERAGE(1.15,1.15,0.9,1.3),H105=240,AVERAGE(1.15,1.15,0.9,1.3),H105=90,AVERAGE(1.15,1.15,0.9,1.3))</f>
        <v>1.4350000000000001</v>
      </c>
      <c r="K105" s="1"/>
      <c r="L105" s="2"/>
      <c r="M105" s="20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</row>
    <row r="106" spans="1:138" x14ac:dyDescent="0.3">
      <c r="A106" s="2"/>
      <c r="B106" s="2"/>
      <c r="C106" s="2"/>
      <c r="D106" s="2"/>
      <c r="E106" s="2"/>
      <c r="F106" s="2"/>
      <c r="G106" s="2"/>
      <c r="H106" s="2">
        <v>115</v>
      </c>
      <c r="I106" s="2" cm="1">
        <f t="array" ref="I106">_xlfn.IFS(H106=115,2,H106=150,2,H106=200,1.5,H106=240,1.5,H106=90,2.2)</f>
        <v>2</v>
      </c>
      <c r="J106" s="2" cm="1">
        <f t="array" ref="J106">+_xlfn.IFS(H106=115,AVERAGE(1.49,1.5,1.05,1.7),H106=150,AVERAGE(1.49,1.5,1.05,1.7),H106=200,AVERAGE(1.15,1.15,0.9,1.3),H106=240,AVERAGE(1.15,1.15,0.9,1.3),H106=90,AVERAGE(1.15,1.15,0.9,1.3))</f>
        <v>1.4350000000000001</v>
      </c>
      <c r="K106" s="1"/>
      <c r="L106" s="2"/>
      <c r="M106" s="20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</row>
    <row r="107" spans="1:138" x14ac:dyDescent="0.3">
      <c r="A107" s="2"/>
      <c r="B107" s="2"/>
      <c r="C107" s="2"/>
      <c r="D107" s="2"/>
      <c r="E107" s="2"/>
      <c r="F107" s="2"/>
      <c r="G107" s="2"/>
      <c r="H107" s="2">
        <v>115</v>
      </c>
      <c r="I107" s="2" cm="1">
        <f t="array" ref="I107">_xlfn.IFS(H107=115,2,H107=150,2,H107=200,1.5,H107=240,1.5,H107=90,2.2)</f>
        <v>2</v>
      </c>
      <c r="J107" s="2" cm="1">
        <f t="array" ref="J107">+_xlfn.IFS(H107=115,AVERAGE(1.49,1.5,1.05,1.7),H107=150,AVERAGE(1.49,1.5,1.05,1.7),H107=200,AVERAGE(1.15,1.15,0.9,1.3),H107=240,AVERAGE(1.15,1.15,0.9,1.3),H107=90,AVERAGE(1.15,1.15,0.9,1.3))</f>
        <v>1.4350000000000001</v>
      </c>
      <c r="K107" s="1"/>
      <c r="L107" s="2"/>
      <c r="M107" s="20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</row>
    <row r="108" spans="1:138" x14ac:dyDescent="0.3">
      <c r="A108" s="2"/>
      <c r="B108" s="2"/>
      <c r="C108" s="2"/>
      <c r="D108" s="2"/>
      <c r="E108" s="2"/>
      <c r="F108" s="2"/>
      <c r="G108" s="2"/>
      <c r="H108" s="2">
        <v>115</v>
      </c>
      <c r="I108" s="2" cm="1">
        <f t="array" ref="I108">_xlfn.IFS(H108=115,2,H108=150,2,H108=200,1.5,H108=240,1.5,H108=90,2.2)</f>
        <v>2</v>
      </c>
      <c r="J108" s="2" cm="1">
        <f t="array" ref="J108">+_xlfn.IFS(H108=115,AVERAGE(1.49,1.5,1.05,1.7),H108=150,AVERAGE(1.49,1.5,1.05,1.7),H108=200,AVERAGE(1.15,1.15,0.9,1.3),H108=240,AVERAGE(1.15,1.15,0.9,1.3),H108=90,AVERAGE(1.15,1.15,0.9,1.3))</f>
        <v>1.4350000000000001</v>
      </c>
      <c r="K108" s="1"/>
      <c r="L108" s="2"/>
      <c r="M108" s="20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</row>
    <row r="109" spans="1:138" x14ac:dyDescent="0.3">
      <c r="A109" s="2"/>
      <c r="B109" s="2"/>
      <c r="C109" s="2"/>
      <c r="D109" s="2"/>
      <c r="E109" s="2"/>
      <c r="F109" s="2"/>
      <c r="G109" s="2"/>
      <c r="H109" s="2">
        <v>115</v>
      </c>
      <c r="I109" s="2" cm="1">
        <f t="array" ref="I109">_xlfn.IFS(H109=115,2,H109=150,2,H109=200,1.5,H109=240,1.5,H109=90,2.2)</f>
        <v>2</v>
      </c>
      <c r="J109" s="2" cm="1">
        <f t="array" ref="J109">+_xlfn.IFS(H109=115,AVERAGE(1.49,1.5,1.05,1.7),H109=150,AVERAGE(1.49,1.5,1.05,1.7),H109=200,AVERAGE(1.15,1.15,0.9,1.3),H109=240,AVERAGE(1.15,1.15,0.9,1.3),H109=90,AVERAGE(1.15,1.15,0.9,1.3))</f>
        <v>1.4350000000000001</v>
      </c>
      <c r="K109" s="1"/>
      <c r="L109" s="2"/>
      <c r="M109" s="20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</row>
    <row r="110" spans="1:138" x14ac:dyDescent="0.3">
      <c r="A110" s="2"/>
      <c r="B110" s="2"/>
      <c r="C110" s="2"/>
      <c r="D110" s="2"/>
      <c r="E110" s="2"/>
      <c r="F110" s="2"/>
      <c r="G110" s="2"/>
      <c r="H110" s="2">
        <v>115</v>
      </c>
      <c r="I110" s="2" cm="1">
        <f t="array" ref="I110">_xlfn.IFS(H110=115,2,H110=150,2,H110=200,1.5,H110=240,1.5,H110=90,2.2)</f>
        <v>2</v>
      </c>
      <c r="J110" s="2" cm="1">
        <f t="array" ref="J110">+_xlfn.IFS(H110=115,AVERAGE(1.49,1.5,1.05,1.7),H110=150,AVERAGE(1.49,1.5,1.05,1.7),H110=200,AVERAGE(1.15,1.15,0.9,1.3),H110=240,AVERAGE(1.15,1.15,0.9,1.3),H110=90,AVERAGE(1.15,1.15,0.9,1.3))</f>
        <v>1.4350000000000001</v>
      </c>
      <c r="K110" s="1"/>
      <c r="L110" s="2"/>
      <c r="M110" s="20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</row>
    <row r="111" spans="1:138" x14ac:dyDescent="0.3">
      <c r="A111" s="2"/>
      <c r="B111" s="2"/>
      <c r="C111" s="2"/>
      <c r="D111" s="2"/>
      <c r="E111" s="2"/>
      <c r="F111" s="2"/>
      <c r="G111" s="2"/>
      <c r="H111" s="2">
        <v>115</v>
      </c>
      <c r="I111" s="2" cm="1">
        <f t="array" ref="I111">_xlfn.IFS(H111=115,2,H111=150,2,H111=200,1.5,H111=240,1.5,H111=90,2.2)</f>
        <v>2</v>
      </c>
      <c r="J111" s="2" cm="1">
        <f t="array" ref="J111">+_xlfn.IFS(H111=115,AVERAGE(1.49,1.5,1.05,1.7),H111=150,AVERAGE(1.49,1.5,1.05,1.7),H111=200,AVERAGE(1.15,1.15,0.9,1.3),H111=240,AVERAGE(1.15,1.15,0.9,1.3),H111=90,AVERAGE(1.15,1.15,0.9,1.3))</f>
        <v>1.4350000000000001</v>
      </c>
      <c r="K111" s="1"/>
      <c r="L111" s="2"/>
      <c r="M111" s="20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</row>
    <row r="112" spans="1:138" x14ac:dyDescent="0.3">
      <c r="A112" s="2"/>
      <c r="B112" s="2"/>
      <c r="C112" s="2"/>
      <c r="D112" s="2"/>
      <c r="E112" s="2"/>
      <c r="F112" s="2"/>
      <c r="G112" s="2"/>
      <c r="H112" s="2">
        <v>115</v>
      </c>
      <c r="I112" s="2" cm="1">
        <f t="array" ref="I112">_xlfn.IFS(H112=115,2,H112=150,2,H112=200,1.5,H112=240,1.5,H112=90,2.2)</f>
        <v>2</v>
      </c>
      <c r="J112" s="2" cm="1">
        <f t="array" ref="J112">+_xlfn.IFS(H112=115,AVERAGE(1.49,1.5,1.05,1.7),H112=150,AVERAGE(1.49,1.5,1.05,1.7),H112=200,AVERAGE(1.15,1.15,0.9,1.3),H112=240,AVERAGE(1.15,1.15,0.9,1.3),H112=90,AVERAGE(1.15,1.15,0.9,1.3))</f>
        <v>1.4350000000000001</v>
      </c>
      <c r="K112" s="1"/>
      <c r="L112" s="2"/>
      <c r="M112" s="20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</row>
    <row r="113" spans="1:138" x14ac:dyDescent="0.3">
      <c r="A113" s="2"/>
      <c r="B113" s="2"/>
      <c r="C113" s="2"/>
      <c r="D113" s="2"/>
      <c r="E113" s="2"/>
      <c r="F113" s="2"/>
      <c r="G113" s="2"/>
      <c r="H113" s="2">
        <v>115</v>
      </c>
      <c r="I113" s="2" cm="1">
        <f t="array" ref="I113">_xlfn.IFS(H113=115,2,H113=150,2,H113=200,1.5,H113=240,1.5,H113=90,2.2)</f>
        <v>2</v>
      </c>
      <c r="J113" s="2" cm="1">
        <f t="array" ref="J113">+_xlfn.IFS(H113=115,AVERAGE(1.49,1.5,1.05,1.7),H113=150,AVERAGE(1.49,1.5,1.05,1.7),H113=200,AVERAGE(1.15,1.15,0.9,1.3),H113=240,AVERAGE(1.15,1.15,0.9,1.3),H113=90,AVERAGE(1.15,1.15,0.9,1.3))</f>
        <v>1.4350000000000001</v>
      </c>
      <c r="K113" s="1"/>
      <c r="L113" s="2"/>
      <c r="M113" s="20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</row>
    <row r="114" spans="1:138" x14ac:dyDescent="0.3">
      <c r="A114" s="2"/>
      <c r="B114" s="2"/>
      <c r="C114" s="2"/>
      <c r="D114" s="2"/>
      <c r="E114" s="2"/>
      <c r="F114" s="2"/>
      <c r="G114" s="2"/>
      <c r="H114" s="2">
        <v>115</v>
      </c>
      <c r="I114" s="2" cm="1">
        <f t="array" ref="I114">_xlfn.IFS(H114=115,2,H114=150,2,H114=200,1.5,H114=240,1.5,H114=90,2.2)</f>
        <v>2</v>
      </c>
      <c r="J114" s="2" cm="1">
        <f t="array" ref="J114">+_xlfn.IFS(H114=115,AVERAGE(1.49,1.5,1.05,1.7),H114=150,AVERAGE(1.49,1.5,1.05,1.7),H114=200,AVERAGE(1.15,1.15,0.9,1.3),H114=240,AVERAGE(1.15,1.15,0.9,1.3),H114=90,AVERAGE(1.15,1.15,0.9,1.3))</f>
        <v>1.4350000000000001</v>
      </c>
      <c r="K114" s="1"/>
      <c r="L114" s="2"/>
      <c r="M114" s="20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</row>
    <row r="115" spans="1:138" x14ac:dyDescent="0.3">
      <c r="A115" s="2"/>
      <c r="B115" s="2"/>
      <c r="C115" s="2"/>
      <c r="D115" s="2"/>
      <c r="E115" s="2"/>
      <c r="F115" s="2"/>
      <c r="G115" s="2"/>
      <c r="H115" s="2">
        <v>115</v>
      </c>
      <c r="I115" s="2" cm="1">
        <f t="array" ref="I115">_xlfn.IFS(H115=115,2,H115=150,2,H115=200,1.5,H115=240,1.5,H115=90,2.2)</f>
        <v>2</v>
      </c>
      <c r="J115" s="2" cm="1">
        <f t="array" ref="J115">+_xlfn.IFS(H115=115,AVERAGE(1.49,1.5,1.05,1.7),H115=150,AVERAGE(1.49,1.5,1.05,1.7),H115=200,AVERAGE(1.15,1.15,0.9,1.3),H115=240,AVERAGE(1.15,1.15,0.9,1.3),H115=90,AVERAGE(1.15,1.15,0.9,1.3))</f>
        <v>1.4350000000000001</v>
      </c>
      <c r="K115" s="1"/>
      <c r="L115" s="2"/>
      <c r="M115" s="20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</row>
    <row r="116" spans="1:138" x14ac:dyDescent="0.3">
      <c r="A116" s="2"/>
      <c r="B116" s="2"/>
      <c r="C116" s="2"/>
      <c r="D116" s="2"/>
      <c r="E116" s="2"/>
      <c r="F116" s="2"/>
      <c r="G116" s="2"/>
      <c r="H116" s="2">
        <v>115</v>
      </c>
      <c r="I116" s="2" cm="1">
        <f t="array" ref="I116">_xlfn.IFS(H116=115,2,H116=150,2,H116=200,1.5,H116=240,1.5,H116=90,2.2)</f>
        <v>2</v>
      </c>
      <c r="J116" s="2" cm="1">
        <f t="array" ref="J116">+_xlfn.IFS(H116=115,AVERAGE(1.49,1.5,1.05,1.7),H116=150,AVERAGE(1.49,1.5,1.05,1.7),H116=200,AVERAGE(1.15,1.15,0.9,1.3),H116=240,AVERAGE(1.15,1.15,0.9,1.3),H116=90,AVERAGE(1.15,1.15,0.9,1.3))</f>
        <v>1.4350000000000001</v>
      </c>
      <c r="K116" s="1"/>
      <c r="L116" s="2"/>
      <c r="M116" s="20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</row>
    <row r="117" spans="1:138" x14ac:dyDescent="0.3">
      <c r="A117" s="2"/>
      <c r="B117" s="2"/>
      <c r="C117" s="2"/>
      <c r="D117" s="2"/>
      <c r="E117" s="2"/>
      <c r="F117" s="2"/>
      <c r="G117" s="2"/>
      <c r="H117" s="2">
        <v>115</v>
      </c>
      <c r="I117" s="2" cm="1">
        <f t="array" ref="I117">_xlfn.IFS(H117=115,2,H117=150,2,H117=200,1.5,H117=240,1.5,H117=90,2.2)</f>
        <v>2</v>
      </c>
      <c r="J117" s="2" cm="1">
        <f t="array" ref="J117">+_xlfn.IFS(H117=115,AVERAGE(1.49,1.5,1.05,1.7),H117=150,AVERAGE(1.49,1.5,1.05,1.7),H117=200,AVERAGE(1.15,1.15,0.9,1.3),H117=240,AVERAGE(1.15,1.15,0.9,1.3),H117=90,AVERAGE(1.15,1.15,0.9,1.3))</f>
        <v>1.4350000000000001</v>
      </c>
      <c r="K117" s="1"/>
      <c r="L117" s="2"/>
      <c r="M117" s="20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</row>
    <row r="118" spans="1:138" x14ac:dyDescent="0.3">
      <c r="A118" s="2"/>
      <c r="B118" s="2"/>
      <c r="C118" s="2"/>
      <c r="D118" s="2"/>
      <c r="E118" s="2"/>
      <c r="F118" s="2"/>
      <c r="G118" s="2"/>
      <c r="H118" s="2">
        <v>115</v>
      </c>
      <c r="I118" s="2" cm="1">
        <f t="array" ref="I118">_xlfn.IFS(H118=115,2,H118=150,2,H118=200,1.5,H118=240,1.5,H118=90,2.2)</f>
        <v>2</v>
      </c>
      <c r="J118" s="2" cm="1">
        <f t="array" ref="J118">+_xlfn.IFS(H118=115,AVERAGE(1.49,1.5,1.05,1.7),H118=150,AVERAGE(1.49,1.5,1.05,1.7),H118=200,AVERAGE(1.15,1.15,0.9,1.3),H118=240,AVERAGE(1.15,1.15,0.9,1.3),H118=90,AVERAGE(1.15,1.15,0.9,1.3))</f>
        <v>1.4350000000000001</v>
      </c>
      <c r="K118" s="1"/>
      <c r="L118" s="2"/>
      <c r="M118" s="20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</row>
    <row r="119" spans="1:138" x14ac:dyDescent="0.3">
      <c r="A119" s="2"/>
      <c r="B119" s="2"/>
      <c r="C119" s="2"/>
      <c r="D119" s="2"/>
      <c r="E119" s="2"/>
      <c r="F119" s="2"/>
      <c r="G119" s="2"/>
      <c r="H119" s="2">
        <v>115</v>
      </c>
      <c r="I119" s="2" cm="1">
        <f t="array" ref="I119">_xlfn.IFS(H119=115,2,H119=150,2,H119=200,1.5,H119=240,1.5,H119=90,2.2)</f>
        <v>2</v>
      </c>
      <c r="J119" s="2" cm="1">
        <f t="array" ref="J119">+_xlfn.IFS(H119=115,AVERAGE(1.49,1.5,1.05,1.7),H119=150,AVERAGE(1.49,1.5,1.05,1.7),H119=200,AVERAGE(1.15,1.15,0.9,1.3),H119=240,AVERAGE(1.15,1.15,0.9,1.3),H119=90,AVERAGE(1.15,1.15,0.9,1.3))</f>
        <v>1.4350000000000001</v>
      </c>
      <c r="K119" s="1"/>
      <c r="L119" s="2"/>
      <c r="M119" s="20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</row>
    <row r="120" spans="1:138" x14ac:dyDescent="0.3">
      <c r="A120" s="2"/>
      <c r="B120" s="2"/>
      <c r="C120" s="2"/>
      <c r="D120" s="2"/>
      <c r="E120" s="2"/>
      <c r="F120" s="2"/>
      <c r="G120" s="2"/>
      <c r="H120" s="2">
        <v>115</v>
      </c>
      <c r="I120" s="2" cm="1">
        <f t="array" ref="I120">_xlfn.IFS(H120=115,2,H120=150,2,H120=200,1.5,H120=240,1.5,H120=90,2.2)</f>
        <v>2</v>
      </c>
      <c r="J120" s="2" cm="1">
        <f t="array" ref="J120">+_xlfn.IFS(H120=115,AVERAGE(1.49,1.5,1.05,1.7),H120=150,AVERAGE(1.49,1.5,1.05,1.7),H120=200,AVERAGE(1.15,1.15,0.9,1.3),H120=240,AVERAGE(1.15,1.15,0.9,1.3),H120=90,AVERAGE(1.15,1.15,0.9,1.3))</f>
        <v>1.4350000000000001</v>
      </c>
      <c r="K120" s="1"/>
      <c r="L120" s="2"/>
      <c r="M120" s="20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</row>
    <row r="121" spans="1:138" x14ac:dyDescent="0.3">
      <c r="A121" s="2"/>
      <c r="B121" s="2"/>
      <c r="C121" s="2"/>
      <c r="D121" s="2"/>
      <c r="E121" s="2"/>
      <c r="F121" s="2"/>
      <c r="G121" s="2"/>
      <c r="H121" s="2">
        <v>115</v>
      </c>
      <c r="I121" s="2" cm="1">
        <f t="array" ref="I121">_xlfn.IFS(H121=115,2,H121=150,2,H121=200,1.5,H121=240,1.5,H121=90,2.2)</f>
        <v>2</v>
      </c>
      <c r="J121" s="2" cm="1">
        <f t="array" ref="J121">+_xlfn.IFS(H121=115,AVERAGE(1.49,1.5,1.05,1.7),H121=150,AVERAGE(1.49,1.5,1.05,1.7),H121=200,AVERAGE(1.15,1.15,0.9,1.3),H121=240,AVERAGE(1.15,1.15,0.9,1.3),H121=90,AVERAGE(1.15,1.15,0.9,1.3))</f>
        <v>1.4350000000000001</v>
      </c>
      <c r="K121" s="1"/>
      <c r="L121" s="2"/>
      <c r="M121" s="20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</row>
    <row r="122" spans="1:138" x14ac:dyDescent="0.3">
      <c r="A122" s="2"/>
      <c r="B122" s="2"/>
      <c r="C122" s="2"/>
      <c r="D122" s="2"/>
      <c r="E122" s="2"/>
      <c r="F122" s="2"/>
      <c r="G122" s="2"/>
      <c r="H122" s="2">
        <v>115</v>
      </c>
      <c r="I122" s="2" cm="1">
        <f t="array" ref="I122">_xlfn.IFS(H122=115,2,H122=150,2,H122=200,1.5,H122=240,1.5,H122=90,2.2)</f>
        <v>2</v>
      </c>
      <c r="J122" s="2" cm="1">
        <f t="array" ref="J122">+_xlfn.IFS(H122=115,AVERAGE(1.49,1.5,1.05,1.7),H122=150,AVERAGE(1.49,1.5,1.05,1.7),H122=200,AVERAGE(1.15,1.15,0.9,1.3),H122=240,AVERAGE(1.15,1.15,0.9,1.3),H122=90,AVERAGE(1.15,1.15,0.9,1.3))</f>
        <v>1.4350000000000001</v>
      </c>
      <c r="K122" s="1"/>
      <c r="L122" s="2"/>
      <c r="M122" s="20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</row>
    <row r="123" spans="1:138" x14ac:dyDescent="0.3">
      <c r="A123" s="2"/>
      <c r="B123" s="2"/>
      <c r="C123" s="2"/>
      <c r="D123" s="2"/>
      <c r="E123" s="2"/>
      <c r="F123" s="2"/>
      <c r="G123" s="2"/>
      <c r="H123" s="2">
        <v>115</v>
      </c>
      <c r="I123" s="2" cm="1">
        <f t="array" ref="I123">_xlfn.IFS(H123=115,2,H123=150,2,H123=200,1.5,H123=240,1.5,H123=90,2.2)</f>
        <v>2</v>
      </c>
      <c r="J123" s="2" cm="1">
        <f t="array" ref="J123">+_xlfn.IFS(H123=115,AVERAGE(1.49,1.5,1.05,1.7),H123=150,AVERAGE(1.49,1.5,1.05,1.7),H123=200,AVERAGE(1.15,1.15,0.9,1.3),H123=240,AVERAGE(1.15,1.15,0.9,1.3),H123=90,AVERAGE(1.15,1.15,0.9,1.3))</f>
        <v>1.4350000000000001</v>
      </c>
      <c r="K123" s="1"/>
      <c r="L123" s="2"/>
      <c r="M123" s="20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</row>
    <row r="124" spans="1:138" x14ac:dyDescent="0.3">
      <c r="A124" s="2"/>
      <c r="B124" s="2"/>
      <c r="C124" s="2"/>
      <c r="D124" s="2"/>
      <c r="E124" s="2"/>
      <c r="F124" s="2"/>
      <c r="G124" s="2"/>
      <c r="H124" s="2">
        <v>115</v>
      </c>
      <c r="I124" s="2" cm="1">
        <f t="array" ref="I124">_xlfn.IFS(H124=115,2,H124=150,2,H124=200,1.5,H124=240,1.5,H124=90,2.2)</f>
        <v>2</v>
      </c>
      <c r="J124" s="2" cm="1">
        <f t="array" ref="J124">+_xlfn.IFS(H124=115,AVERAGE(1.49,1.5,1.05,1.7),H124=150,AVERAGE(1.49,1.5,1.05,1.7),H124=200,AVERAGE(1.15,1.15,0.9,1.3),H124=240,AVERAGE(1.15,1.15,0.9,1.3),H124=90,AVERAGE(1.15,1.15,0.9,1.3))</f>
        <v>1.4350000000000001</v>
      </c>
      <c r="K124" s="1"/>
      <c r="L124" s="2"/>
      <c r="M124" s="20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</row>
    <row r="125" spans="1:138" x14ac:dyDescent="0.3">
      <c r="A125" s="2"/>
      <c r="B125" s="2"/>
      <c r="C125" s="2"/>
      <c r="D125" s="2"/>
      <c r="E125" s="2"/>
      <c r="F125" s="2"/>
      <c r="G125" s="2"/>
      <c r="H125" s="2">
        <v>115</v>
      </c>
      <c r="I125" s="2" cm="1">
        <f t="array" ref="I125">_xlfn.IFS(H125=115,2,H125=150,2,H125=200,1.5,H125=240,1.5,H125=90,2.2)</f>
        <v>2</v>
      </c>
      <c r="J125" s="2" cm="1">
        <f t="array" ref="J125">+_xlfn.IFS(H125=115,AVERAGE(1.49,1.5,1.05,1.7),H125=150,AVERAGE(1.49,1.5,1.05,1.7),H125=200,AVERAGE(1.15,1.15,0.9,1.3),H125=240,AVERAGE(1.15,1.15,0.9,1.3),H125=90,AVERAGE(1.15,1.15,0.9,1.3))</f>
        <v>1.4350000000000001</v>
      </c>
      <c r="K125" s="1"/>
      <c r="L125" s="2"/>
      <c r="M125" s="20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</row>
    <row r="126" spans="1:138" x14ac:dyDescent="0.3">
      <c r="A126" s="2"/>
      <c r="B126" s="2"/>
      <c r="C126" s="2"/>
      <c r="D126" s="2"/>
      <c r="E126" s="2"/>
      <c r="F126" s="2"/>
      <c r="G126" s="2"/>
      <c r="H126" s="2">
        <v>115</v>
      </c>
      <c r="I126" s="2" cm="1">
        <f t="array" ref="I126">_xlfn.IFS(H126=115,2,H126=150,2,H126=200,1.5,H126=240,1.5,H126=90,2.2)</f>
        <v>2</v>
      </c>
      <c r="J126" s="2" cm="1">
        <f t="array" ref="J126">+_xlfn.IFS(H126=115,AVERAGE(1.49,1.5,1.05,1.7),H126=150,AVERAGE(1.49,1.5,1.05,1.7),H126=200,AVERAGE(1.15,1.15,0.9,1.3),H126=240,AVERAGE(1.15,1.15,0.9,1.3),H126=90,AVERAGE(1.15,1.15,0.9,1.3))</f>
        <v>1.4350000000000001</v>
      </c>
      <c r="K126" s="1"/>
      <c r="L126" s="2"/>
      <c r="M126" s="20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</row>
    <row r="127" spans="1:138" x14ac:dyDescent="0.3">
      <c r="A127" s="2"/>
      <c r="B127" s="2"/>
      <c r="C127" s="2"/>
      <c r="D127" s="2"/>
      <c r="E127" s="2"/>
      <c r="F127" s="2"/>
      <c r="G127" s="2"/>
      <c r="H127" s="2">
        <v>115</v>
      </c>
      <c r="I127" s="2" cm="1">
        <f t="array" ref="I127">_xlfn.IFS(H127=115,2,H127=150,2,H127=200,1.5,H127=240,1.5,H127=90,2.2)</f>
        <v>2</v>
      </c>
      <c r="J127" s="2" cm="1">
        <f t="array" ref="J127">+_xlfn.IFS(H127=115,AVERAGE(1.49,1.5,1.05,1.7),H127=150,AVERAGE(1.49,1.5,1.05,1.7),H127=200,AVERAGE(1.15,1.15,0.9,1.3),H127=240,AVERAGE(1.15,1.15,0.9,1.3),H127=90,AVERAGE(1.15,1.15,0.9,1.3))</f>
        <v>1.4350000000000001</v>
      </c>
      <c r="K127" s="1"/>
      <c r="L127" s="2"/>
      <c r="M127" s="20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</row>
    <row r="128" spans="1:138" x14ac:dyDescent="0.3">
      <c r="A128" s="2"/>
      <c r="B128" s="2"/>
      <c r="C128" s="2"/>
      <c r="D128" s="2"/>
      <c r="E128" s="2"/>
      <c r="F128" s="2"/>
      <c r="G128" s="2"/>
      <c r="H128" s="2">
        <v>115</v>
      </c>
      <c r="I128" s="2" cm="1">
        <f t="array" ref="I128">_xlfn.IFS(H128=115,2,H128=150,2,H128=200,1.5,H128=240,1.5,H128=90,2.2)</f>
        <v>2</v>
      </c>
      <c r="J128" s="2" cm="1">
        <f t="array" ref="J128">+_xlfn.IFS(H128=115,AVERAGE(1.49,1.5,1.05,1.7),H128=150,AVERAGE(1.49,1.5,1.05,1.7),H128=200,AVERAGE(1.15,1.15,0.9,1.3),H128=240,AVERAGE(1.15,1.15,0.9,1.3),H128=90,AVERAGE(1.15,1.15,0.9,1.3))</f>
        <v>1.4350000000000001</v>
      </c>
      <c r="K128" s="1"/>
      <c r="L128" s="2"/>
      <c r="M128" s="20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</row>
    <row r="129" spans="1:138" x14ac:dyDescent="0.3">
      <c r="A129" s="2"/>
      <c r="B129" s="2"/>
      <c r="C129" s="2"/>
      <c r="D129" s="2"/>
      <c r="E129" s="2"/>
      <c r="F129" s="2"/>
      <c r="G129" s="2"/>
      <c r="H129" s="2">
        <v>115</v>
      </c>
      <c r="I129" s="2" cm="1">
        <f t="array" ref="I129">_xlfn.IFS(H129=115,2,H129=150,2,H129=200,1.5,H129=240,1.5,H129=90,2.2)</f>
        <v>2</v>
      </c>
      <c r="J129" s="2" cm="1">
        <f t="array" ref="J129">+_xlfn.IFS(H129=115,AVERAGE(1.49,1.5,1.05,1.7),H129=150,AVERAGE(1.49,1.5,1.05,1.7),H129=200,AVERAGE(1.15,1.15,0.9,1.3),H129=240,AVERAGE(1.15,1.15,0.9,1.3),H129=90,AVERAGE(1.15,1.15,0.9,1.3))</f>
        <v>1.4350000000000001</v>
      </c>
      <c r="K129" s="1"/>
      <c r="L129" s="2"/>
      <c r="M129" s="20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</row>
    <row r="130" spans="1:138" x14ac:dyDescent="0.3">
      <c r="A130" s="2"/>
      <c r="B130" s="2"/>
      <c r="C130" s="2"/>
      <c r="D130" s="2"/>
      <c r="E130" s="2"/>
      <c r="F130" s="2"/>
      <c r="G130" s="2"/>
      <c r="H130" s="2">
        <v>115</v>
      </c>
      <c r="I130" s="2" cm="1">
        <f t="array" ref="I130">_xlfn.IFS(H130=115,2,H130=150,2,H130=200,1.5,H130=240,1.5,H130=90,2.2)</f>
        <v>2</v>
      </c>
      <c r="J130" s="2" cm="1">
        <f t="array" ref="J130">+_xlfn.IFS(H130=115,AVERAGE(1.49,1.5,1.05,1.7),H130=150,AVERAGE(1.49,1.5,1.05,1.7),H130=200,AVERAGE(1.15,1.15,0.9,1.3),H130=240,AVERAGE(1.15,1.15,0.9,1.3),H130=90,AVERAGE(1.15,1.15,0.9,1.3))</f>
        <v>1.4350000000000001</v>
      </c>
      <c r="K130" s="1"/>
      <c r="L130" s="2"/>
      <c r="M130" s="20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</row>
    <row r="131" spans="1:138" x14ac:dyDescent="0.3">
      <c r="A131" s="2"/>
      <c r="B131" s="2"/>
      <c r="C131" s="2"/>
      <c r="D131" s="2"/>
      <c r="E131" s="2"/>
      <c r="F131" s="2"/>
      <c r="G131" s="2"/>
      <c r="H131" s="2">
        <v>115</v>
      </c>
      <c r="I131" s="2" cm="1">
        <f t="array" ref="I131">_xlfn.IFS(H131=115,2,H131=150,2,H131=200,1.5,H131=240,1.5,H131=90,2.2)</f>
        <v>2</v>
      </c>
      <c r="J131" s="2" cm="1">
        <f t="array" ref="J131">+_xlfn.IFS(H131=115,AVERAGE(1.49,1.5,1.05,1.7),H131=150,AVERAGE(1.49,1.5,1.05,1.7),H131=200,AVERAGE(1.15,1.15,0.9,1.3),H131=240,AVERAGE(1.15,1.15,0.9,1.3),H131=90,AVERAGE(1.15,1.15,0.9,1.3))</f>
        <v>1.4350000000000001</v>
      </c>
      <c r="K131" s="1"/>
      <c r="L131" s="2"/>
      <c r="M131" s="20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</row>
    <row r="132" spans="1:138" x14ac:dyDescent="0.3">
      <c r="A132" s="2"/>
      <c r="B132" s="2"/>
      <c r="C132" s="2"/>
      <c r="D132" s="2"/>
      <c r="E132" s="2"/>
      <c r="F132" s="2"/>
      <c r="G132" s="2"/>
      <c r="H132" s="2">
        <v>115</v>
      </c>
      <c r="I132" s="2" cm="1">
        <f t="array" ref="I132">_xlfn.IFS(H132=115,2,H132=150,2,H132=200,1.5,H132=240,1.5,H132=90,2.2)</f>
        <v>2</v>
      </c>
      <c r="J132" s="2" cm="1">
        <f t="array" ref="J132">+_xlfn.IFS(H132=115,AVERAGE(1.49,1.5,1.05,1.7),H132=150,AVERAGE(1.49,1.5,1.05,1.7),H132=200,AVERAGE(1.15,1.15,0.9,1.3),H132=240,AVERAGE(1.15,1.15,0.9,1.3),H132=90,AVERAGE(1.15,1.15,0.9,1.3))</f>
        <v>1.4350000000000001</v>
      </c>
      <c r="K132" s="1"/>
      <c r="L132" s="2"/>
      <c r="M132" s="20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</row>
    <row r="133" spans="1:138" x14ac:dyDescent="0.3">
      <c r="A133" s="2"/>
      <c r="B133" s="2"/>
      <c r="C133" s="2"/>
      <c r="D133" s="2"/>
      <c r="E133" s="2"/>
      <c r="F133" s="2"/>
      <c r="G133" s="2"/>
      <c r="H133" s="2">
        <v>115</v>
      </c>
      <c r="I133" s="2" cm="1">
        <f t="array" ref="I133">_xlfn.IFS(H133=115,2,H133=150,2,H133=200,1.5,H133=240,1.5,H133=90,2.2)</f>
        <v>2</v>
      </c>
      <c r="J133" s="2" cm="1">
        <f t="array" ref="J133">+_xlfn.IFS(H133=115,AVERAGE(1.49,1.5,1.05,1.7),H133=150,AVERAGE(1.49,1.5,1.05,1.7),H133=200,AVERAGE(1.15,1.15,0.9,1.3),H133=240,AVERAGE(1.15,1.15,0.9,1.3),H133=90,AVERAGE(1.15,1.15,0.9,1.3))</f>
        <v>1.4350000000000001</v>
      </c>
      <c r="K133" s="1"/>
      <c r="L133" s="2"/>
      <c r="M133" s="20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</row>
    <row r="134" spans="1:138" x14ac:dyDescent="0.3">
      <c r="A134" s="2"/>
      <c r="B134" s="2"/>
      <c r="C134" s="2"/>
      <c r="D134" s="2"/>
      <c r="E134" s="2"/>
      <c r="F134" s="2"/>
      <c r="G134" s="2"/>
      <c r="H134" s="2">
        <v>115</v>
      </c>
      <c r="I134" s="2" cm="1">
        <f t="array" ref="I134">_xlfn.IFS(H134=115,2,H134=150,2,H134=200,1.5,H134=240,1.5,H134=90,2.2)</f>
        <v>2</v>
      </c>
      <c r="J134" s="2" cm="1">
        <f t="array" ref="J134">+_xlfn.IFS(H134=115,AVERAGE(1.49,1.5,1.05,1.7),H134=150,AVERAGE(1.49,1.5,1.05,1.7),H134=200,AVERAGE(1.15,1.15,0.9,1.3),H134=240,AVERAGE(1.15,1.15,0.9,1.3),H134=90,AVERAGE(1.15,1.15,0.9,1.3))</f>
        <v>1.4350000000000001</v>
      </c>
      <c r="K134" s="1"/>
      <c r="L134" s="2"/>
      <c r="M134" s="20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</row>
    <row r="135" spans="1:138" x14ac:dyDescent="0.3">
      <c r="A135" s="2"/>
      <c r="B135" s="2"/>
      <c r="C135" s="2"/>
      <c r="D135" s="2"/>
      <c r="E135" s="2"/>
      <c r="F135" s="2"/>
      <c r="G135" s="2"/>
      <c r="H135" s="2">
        <v>115</v>
      </c>
      <c r="I135" s="2" cm="1">
        <f t="array" ref="I135">_xlfn.IFS(H135=115,2,H135=150,2,H135=200,1.5,H135=240,1.5,H135=90,2.2)</f>
        <v>2</v>
      </c>
      <c r="J135" s="2" cm="1">
        <f t="array" ref="J135">+_xlfn.IFS(H135=115,AVERAGE(1.49,1.5,1.05,1.7),H135=150,AVERAGE(1.49,1.5,1.05,1.7),H135=200,AVERAGE(1.15,1.15,0.9,1.3),H135=240,AVERAGE(1.15,1.15,0.9,1.3),H135=90,AVERAGE(1.15,1.15,0.9,1.3))</f>
        <v>1.4350000000000001</v>
      </c>
      <c r="K135" s="1"/>
      <c r="L135" s="2"/>
      <c r="M135" s="20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</row>
    <row r="136" spans="1:138" x14ac:dyDescent="0.3">
      <c r="A136" s="2"/>
      <c r="B136" s="2"/>
      <c r="C136" s="2"/>
      <c r="D136" s="2"/>
      <c r="E136" s="2"/>
      <c r="F136" s="2"/>
      <c r="G136" s="2"/>
      <c r="H136" s="2">
        <v>115</v>
      </c>
      <c r="I136" s="2" cm="1">
        <f t="array" ref="I136">_xlfn.IFS(H136=115,2,H136=150,2,H136=200,1.5,H136=240,1.5,H136=90,2.2)</f>
        <v>2</v>
      </c>
      <c r="J136" s="2" cm="1">
        <f t="array" ref="J136">+_xlfn.IFS(H136=115,AVERAGE(1.49,1.5,1.05,1.7),H136=150,AVERAGE(1.49,1.5,1.05,1.7),H136=200,AVERAGE(1.15,1.15,0.9,1.3),H136=240,AVERAGE(1.15,1.15,0.9,1.3),H136=90,AVERAGE(1.15,1.15,0.9,1.3))</f>
        <v>1.4350000000000001</v>
      </c>
      <c r="K136" s="1"/>
      <c r="L136" s="2"/>
      <c r="M136" s="20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</row>
    <row r="137" spans="1:138" x14ac:dyDescent="0.3">
      <c r="A137" s="2"/>
      <c r="B137" s="2"/>
      <c r="C137" s="2"/>
      <c r="D137" s="2"/>
      <c r="E137" s="2"/>
      <c r="F137" s="2"/>
      <c r="G137" s="2"/>
      <c r="H137" s="2">
        <v>115</v>
      </c>
      <c r="I137" s="2" cm="1">
        <f t="array" ref="I137">_xlfn.IFS(H137=115,2,H137=150,2,H137=200,1.5,H137=240,1.5,H137=90,2.2)</f>
        <v>2</v>
      </c>
      <c r="J137" s="2" cm="1">
        <f t="array" ref="J137">+_xlfn.IFS(H137=115,AVERAGE(1.49,1.5,1.05,1.7),H137=150,AVERAGE(1.49,1.5,1.05,1.7),H137=200,AVERAGE(1.15,1.15,0.9,1.3),H137=240,AVERAGE(1.15,1.15,0.9,1.3),H137=90,AVERAGE(1.15,1.15,0.9,1.3))</f>
        <v>1.4350000000000001</v>
      </c>
      <c r="K137" s="1"/>
      <c r="L137" s="2"/>
      <c r="M137" s="20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</row>
    <row r="138" spans="1:138" x14ac:dyDescent="0.3">
      <c r="A138" s="2"/>
      <c r="B138" s="2"/>
      <c r="C138" s="2"/>
      <c r="D138" s="2"/>
      <c r="E138" s="2"/>
      <c r="F138" s="2"/>
      <c r="G138" s="2"/>
      <c r="H138" s="2">
        <v>115</v>
      </c>
      <c r="I138" s="2" cm="1">
        <f t="array" ref="I138">_xlfn.IFS(H138=115,2,H138=150,2,H138=200,1.5,H138=240,1.5,H138=90,2.2)</f>
        <v>2</v>
      </c>
      <c r="J138" s="2" cm="1">
        <f t="array" ref="J138">+_xlfn.IFS(H138=115,AVERAGE(1.49,1.5,1.05,1.7),H138=150,AVERAGE(1.49,1.5,1.05,1.7),H138=200,AVERAGE(1.15,1.15,0.9,1.3),H138=240,AVERAGE(1.15,1.15,0.9,1.3),H138=90,AVERAGE(1.15,1.15,0.9,1.3))</f>
        <v>1.4350000000000001</v>
      </c>
      <c r="K138" s="1"/>
      <c r="L138" s="2"/>
      <c r="M138" s="20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</row>
    <row r="139" spans="1:138" x14ac:dyDescent="0.3">
      <c r="A139" s="2"/>
      <c r="B139" s="2"/>
      <c r="C139" s="2"/>
      <c r="D139" s="2"/>
      <c r="E139" s="2"/>
      <c r="F139" s="2"/>
      <c r="G139" s="2"/>
      <c r="H139" s="2">
        <v>115</v>
      </c>
      <c r="I139" s="2" cm="1">
        <f t="array" ref="I139">_xlfn.IFS(H139=115,2,H139=150,2,H139=200,1.5,H139=240,1.5,H139=90,2.2)</f>
        <v>2</v>
      </c>
      <c r="J139" s="2" cm="1">
        <f t="array" ref="J139">+_xlfn.IFS(H139=115,AVERAGE(1.49,1.5,1.05,1.7),H139=150,AVERAGE(1.49,1.5,1.05,1.7),H139=200,AVERAGE(1.15,1.15,0.9,1.3),H139=240,AVERAGE(1.15,1.15,0.9,1.3),H139=90,AVERAGE(1.15,1.15,0.9,1.3))</f>
        <v>1.4350000000000001</v>
      </c>
      <c r="K139" s="1"/>
      <c r="L139" s="2"/>
      <c r="M139" s="20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</row>
    <row r="140" spans="1:138" x14ac:dyDescent="0.3">
      <c r="A140" s="2"/>
      <c r="B140" s="2"/>
      <c r="C140" s="2"/>
      <c r="D140" s="2"/>
      <c r="E140" s="2"/>
      <c r="F140" s="2"/>
      <c r="G140" s="2"/>
      <c r="H140" s="2">
        <v>115</v>
      </c>
      <c r="I140" s="2" cm="1">
        <f t="array" ref="I140">_xlfn.IFS(H140=115,2,H140=150,2,H140=200,1.5,H140=240,1.5,H140=90,2.2)</f>
        <v>2</v>
      </c>
      <c r="J140" s="2" cm="1">
        <f t="array" ref="J140">+_xlfn.IFS(H140=115,AVERAGE(1.49,1.5,1.05,1.7),H140=150,AVERAGE(1.49,1.5,1.05,1.7),H140=200,AVERAGE(1.15,1.15,0.9,1.3),H140=240,AVERAGE(1.15,1.15,0.9,1.3),H140=90,AVERAGE(1.15,1.15,0.9,1.3))</f>
        <v>1.4350000000000001</v>
      </c>
      <c r="K140" s="1"/>
      <c r="L140" s="2"/>
      <c r="M140" s="20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</row>
    <row r="141" spans="1:138" x14ac:dyDescent="0.3">
      <c r="A141" s="2"/>
      <c r="B141" s="2"/>
      <c r="C141" s="2"/>
      <c r="D141" s="2"/>
      <c r="E141" s="2"/>
      <c r="F141" s="2"/>
      <c r="G141" s="2"/>
      <c r="H141" s="2">
        <v>115</v>
      </c>
      <c r="I141" s="2" cm="1">
        <f t="array" ref="I141">_xlfn.IFS(H141=115,2,H141=150,2,H141=200,1.5,H141=240,1.5,H141=90,2.2)</f>
        <v>2</v>
      </c>
      <c r="J141" s="2" cm="1">
        <f t="array" ref="J141">+_xlfn.IFS(H141=115,AVERAGE(1.49,1.5,1.05,1.7),H141=150,AVERAGE(1.49,1.5,1.05,1.7),H141=200,AVERAGE(1.15,1.15,0.9,1.3),H141=240,AVERAGE(1.15,1.15,0.9,1.3),H141=90,AVERAGE(1.15,1.15,0.9,1.3))</f>
        <v>1.4350000000000001</v>
      </c>
      <c r="K141" s="1"/>
      <c r="L141" s="2"/>
      <c r="M141" s="20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</row>
    <row r="142" spans="1:138" x14ac:dyDescent="0.3">
      <c r="A142" s="2"/>
      <c r="B142" s="2"/>
      <c r="C142" s="2"/>
      <c r="D142" s="2"/>
      <c r="E142" s="2"/>
      <c r="F142" s="2"/>
      <c r="G142" s="2"/>
      <c r="H142" s="2">
        <v>115</v>
      </c>
      <c r="I142" s="2" cm="1">
        <f t="array" ref="I142">_xlfn.IFS(H142=115,2,H142=150,2,H142=200,1.5,H142=240,1.5,H142=90,2.2)</f>
        <v>2</v>
      </c>
      <c r="J142" s="2" cm="1">
        <f t="array" ref="J142">+_xlfn.IFS(H142=115,AVERAGE(1.49,1.5,1.05,1.7),H142=150,AVERAGE(1.49,1.5,1.05,1.7),H142=200,AVERAGE(1.15,1.15,0.9,1.3),H142=240,AVERAGE(1.15,1.15,0.9,1.3),H142=90,AVERAGE(1.15,1.15,0.9,1.3))</f>
        <v>1.4350000000000001</v>
      </c>
      <c r="K142" s="1"/>
      <c r="L142" s="2"/>
      <c r="M142" s="20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</row>
    <row r="143" spans="1:138" x14ac:dyDescent="0.3">
      <c r="A143" s="2"/>
      <c r="B143" s="2"/>
      <c r="C143" s="2"/>
      <c r="D143" s="2"/>
      <c r="E143" s="2"/>
      <c r="F143" s="2"/>
      <c r="G143" s="2"/>
      <c r="H143" s="2">
        <v>115</v>
      </c>
      <c r="I143" s="2" cm="1">
        <f t="array" ref="I143">_xlfn.IFS(H143=115,2,H143=150,2,H143=200,1.5,H143=240,1.5,H143=90,2.2)</f>
        <v>2</v>
      </c>
      <c r="J143" s="2" cm="1">
        <f t="array" ref="J143">+_xlfn.IFS(H143=115,AVERAGE(1.49,1.5,1.05,1.7),H143=150,AVERAGE(1.49,1.5,1.05,1.7),H143=200,AVERAGE(1.15,1.15,0.9,1.3),H143=240,AVERAGE(1.15,1.15,0.9,1.3),H143=90,AVERAGE(1.15,1.15,0.9,1.3))</f>
        <v>1.4350000000000001</v>
      </c>
      <c r="K143" s="1"/>
      <c r="L143" s="2"/>
      <c r="M143" s="20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</row>
    <row r="144" spans="1:138" x14ac:dyDescent="0.3">
      <c r="A144" s="2"/>
      <c r="B144" s="2"/>
      <c r="C144" s="2"/>
      <c r="D144" s="2"/>
      <c r="E144" s="2"/>
      <c r="F144" s="2"/>
      <c r="G144" s="2"/>
      <c r="H144" s="2">
        <v>115</v>
      </c>
      <c r="I144" s="2" cm="1">
        <f t="array" ref="I144">_xlfn.IFS(H144=115,2,H144=150,2,H144=200,1.5,H144=240,1.5,H144=90,2.2)</f>
        <v>2</v>
      </c>
      <c r="J144" s="2" cm="1">
        <f t="array" ref="J144">+_xlfn.IFS(H144=115,AVERAGE(1.49,1.5,1.05,1.7),H144=150,AVERAGE(1.49,1.5,1.05,1.7),H144=200,AVERAGE(1.15,1.15,0.9,1.3),H144=240,AVERAGE(1.15,1.15,0.9,1.3),H144=90,AVERAGE(1.15,1.15,0.9,1.3))</f>
        <v>1.4350000000000001</v>
      </c>
      <c r="K144" s="1"/>
      <c r="L144" s="2"/>
      <c r="M144" s="20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</row>
    <row r="145" spans="1:138" x14ac:dyDescent="0.3">
      <c r="A145" s="2"/>
      <c r="B145" s="2"/>
      <c r="C145" s="2"/>
      <c r="D145" s="2"/>
      <c r="E145" s="2"/>
      <c r="F145" s="2"/>
      <c r="G145" s="2"/>
      <c r="H145" s="2">
        <v>115</v>
      </c>
      <c r="I145" s="2" cm="1">
        <f t="array" ref="I145">_xlfn.IFS(H145=115,2,H145=150,2,H145=200,1.5,H145=240,1.5,H145=90,2.2)</f>
        <v>2</v>
      </c>
      <c r="J145" s="2" cm="1">
        <f t="array" ref="J145">+_xlfn.IFS(H145=115,AVERAGE(1.49,1.5,1.05,1.7),H145=150,AVERAGE(1.49,1.5,1.05,1.7),H145=200,AVERAGE(1.15,1.15,0.9,1.3),H145=240,AVERAGE(1.15,1.15,0.9,1.3),H145=90,AVERAGE(1.15,1.15,0.9,1.3))</f>
        <v>1.4350000000000001</v>
      </c>
      <c r="K145" s="1"/>
      <c r="L145" s="2"/>
      <c r="M145" s="20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</row>
    <row r="146" spans="1:138" x14ac:dyDescent="0.3">
      <c r="A146" s="2"/>
      <c r="B146" s="2"/>
      <c r="C146" s="2"/>
      <c r="D146" s="2"/>
      <c r="E146" s="2"/>
      <c r="F146" s="2"/>
      <c r="G146" s="2"/>
      <c r="H146" s="2">
        <v>115</v>
      </c>
      <c r="I146" s="2" cm="1">
        <f t="array" ref="I146">_xlfn.IFS(H146=115,2,H146=150,2,H146=200,1.5,H146=240,1.5,H146=90,2.2)</f>
        <v>2</v>
      </c>
      <c r="J146" s="2" cm="1">
        <f t="array" ref="J146">+_xlfn.IFS(H146=115,AVERAGE(1.49,1.5,1.05,1.7),H146=150,AVERAGE(1.49,1.5,1.05,1.7),H146=200,AVERAGE(1.15,1.15,0.9,1.3),H146=240,AVERAGE(1.15,1.15,0.9,1.3),H146=90,AVERAGE(1.15,1.15,0.9,1.3))</f>
        <v>1.4350000000000001</v>
      </c>
      <c r="K146" s="1"/>
      <c r="L146" s="2"/>
      <c r="M146" s="20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</row>
    <row r="147" spans="1:138" x14ac:dyDescent="0.3">
      <c r="A147" s="2"/>
      <c r="B147" s="2"/>
      <c r="C147" s="2"/>
      <c r="D147" s="2"/>
      <c r="E147" s="2"/>
      <c r="F147" s="2"/>
      <c r="G147" s="2"/>
      <c r="H147" s="2">
        <v>115</v>
      </c>
      <c r="I147" s="2" cm="1">
        <f t="array" ref="I147">_xlfn.IFS(H147=115,2,H147=150,2,H147=200,1.5,H147=240,1.5,H147=90,2.2)</f>
        <v>2</v>
      </c>
      <c r="J147" s="2" cm="1">
        <f t="array" ref="J147">+_xlfn.IFS(H147=115,AVERAGE(1.49,1.5,1.05,1.7),H147=150,AVERAGE(1.49,1.5,1.05,1.7),H147=200,AVERAGE(1.15,1.15,0.9,1.3),H147=240,AVERAGE(1.15,1.15,0.9,1.3),H147=90,AVERAGE(1.15,1.15,0.9,1.3))</f>
        <v>1.4350000000000001</v>
      </c>
      <c r="K147" s="1"/>
      <c r="L147" s="2"/>
      <c r="M147" s="20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</row>
    <row r="148" spans="1:138" x14ac:dyDescent="0.3">
      <c r="A148" s="2"/>
      <c r="B148" s="2"/>
      <c r="C148" s="2"/>
      <c r="D148" s="2"/>
      <c r="E148" s="2"/>
      <c r="F148" s="2"/>
      <c r="G148" s="2"/>
      <c r="H148" s="2">
        <v>115</v>
      </c>
      <c r="I148" s="2" cm="1">
        <f t="array" ref="I148">_xlfn.IFS(H148=115,2,H148=150,2,H148=200,1.5,H148=240,1.5,H148=90,2.2)</f>
        <v>2</v>
      </c>
      <c r="J148" s="2" cm="1">
        <f t="array" ref="J148">+_xlfn.IFS(H148=115,AVERAGE(1.49,1.5,1.05,1.7),H148=150,AVERAGE(1.49,1.5,1.05,1.7),H148=200,AVERAGE(1.15,1.15,0.9,1.3),H148=240,AVERAGE(1.15,1.15,0.9,1.3),H148=90,AVERAGE(1.15,1.15,0.9,1.3))</f>
        <v>1.4350000000000001</v>
      </c>
      <c r="K148" s="1"/>
      <c r="L148" s="2"/>
      <c r="M148" s="20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</row>
    <row r="149" spans="1:138" x14ac:dyDescent="0.3">
      <c r="A149" s="2"/>
      <c r="B149" s="2"/>
      <c r="C149" s="2"/>
      <c r="D149" s="2"/>
      <c r="E149" s="2"/>
      <c r="F149" s="2"/>
      <c r="G149" s="2"/>
      <c r="H149" s="2">
        <v>115</v>
      </c>
      <c r="I149" s="2" cm="1">
        <f t="array" ref="I149">_xlfn.IFS(H149=115,2,H149=150,2,H149=200,1.5,H149=240,1.5,H149=90,2.2)</f>
        <v>2</v>
      </c>
      <c r="J149" s="2" cm="1">
        <f t="array" ref="J149">+_xlfn.IFS(H149=115,AVERAGE(1.49,1.5,1.05,1.7),H149=150,AVERAGE(1.49,1.5,1.05,1.7),H149=200,AVERAGE(1.15,1.15,0.9,1.3),H149=240,AVERAGE(1.15,1.15,0.9,1.3),H149=90,AVERAGE(1.15,1.15,0.9,1.3))</f>
        <v>1.4350000000000001</v>
      </c>
      <c r="K149" s="1"/>
      <c r="L149" s="2"/>
      <c r="M149" s="20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</row>
    <row r="150" spans="1:138" x14ac:dyDescent="0.3">
      <c r="A150" s="2"/>
      <c r="B150" s="2"/>
      <c r="C150" s="2"/>
      <c r="D150" s="2"/>
      <c r="E150" s="2"/>
      <c r="F150" s="2"/>
      <c r="G150" s="2"/>
      <c r="H150" s="2">
        <v>115</v>
      </c>
      <c r="I150" s="2" cm="1">
        <f t="array" ref="I150">_xlfn.IFS(H150=115,2,H150=150,2,H150=200,1.5,H150=240,1.5,H150=90,2.2)</f>
        <v>2</v>
      </c>
      <c r="J150" s="2" cm="1">
        <f t="array" ref="J150">+_xlfn.IFS(H150=115,AVERAGE(1.49,1.5,1.05,1.7),H150=150,AVERAGE(1.49,1.5,1.05,1.7),H150=200,AVERAGE(1.15,1.15,0.9,1.3),H150=240,AVERAGE(1.15,1.15,0.9,1.3),H150=90,AVERAGE(1.15,1.15,0.9,1.3))</f>
        <v>1.4350000000000001</v>
      </c>
      <c r="K150" s="1"/>
      <c r="L150" s="2"/>
      <c r="M150" s="20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</row>
    <row r="151" spans="1:138" x14ac:dyDescent="0.3">
      <c r="A151" s="2"/>
      <c r="B151" s="2"/>
      <c r="C151" s="2"/>
      <c r="D151" s="2"/>
      <c r="E151" s="2"/>
      <c r="F151" s="2"/>
      <c r="G151" s="2"/>
      <c r="H151" s="2">
        <v>115</v>
      </c>
      <c r="I151" s="2" cm="1">
        <f t="array" ref="I151">_xlfn.IFS(H151=115,2,H151=150,2,H151=200,1.5,H151=240,1.5,H151=90,2.2)</f>
        <v>2</v>
      </c>
      <c r="J151" s="2" cm="1">
        <f t="array" ref="J151">+_xlfn.IFS(H151=115,AVERAGE(1.49,1.5,1.05,1.7),H151=150,AVERAGE(1.49,1.5,1.05,1.7),H151=200,AVERAGE(1.15,1.15,0.9,1.3),H151=240,AVERAGE(1.15,1.15,0.9,1.3),H151=90,AVERAGE(1.15,1.15,0.9,1.3))</f>
        <v>1.4350000000000001</v>
      </c>
      <c r="K151" s="1"/>
      <c r="L151" s="2"/>
      <c r="M151" s="20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</row>
    <row r="152" spans="1:138" x14ac:dyDescent="0.3">
      <c r="A152" s="2"/>
      <c r="B152" s="2"/>
      <c r="C152" s="2"/>
      <c r="D152" s="2"/>
      <c r="E152" s="2"/>
      <c r="F152" s="2"/>
      <c r="G152" s="2"/>
      <c r="H152" s="2">
        <v>115</v>
      </c>
      <c r="I152" s="2" cm="1">
        <f t="array" ref="I152">_xlfn.IFS(H152=115,2,H152=150,2,H152=200,1.5,H152=240,1.5,H152=90,2.2)</f>
        <v>2</v>
      </c>
      <c r="J152" s="2" cm="1">
        <f t="array" ref="J152">+_xlfn.IFS(H152=115,AVERAGE(1.49,1.5,1.05,1.7),H152=150,AVERAGE(1.49,1.5,1.05,1.7),H152=200,AVERAGE(1.15,1.15,0.9,1.3),H152=240,AVERAGE(1.15,1.15,0.9,1.3),H152=90,AVERAGE(1.15,1.15,0.9,1.3))</f>
        <v>1.4350000000000001</v>
      </c>
      <c r="K152" s="1"/>
      <c r="L152" s="2"/>
      <c r="M152" s="20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</row>
    <row r="153" spans="1:138" x14ac:dyDescent="0.3">
      <c r="A153" s="2"/>
      <c r="B153" s="2"/>
      <c r="C153" s="2"/>
      <c r="D153" s="2"/>
      <c r="E153" s="2"/>
      <c r="F153" s="2"/>
      <c r="G153" s="2"/>
      <c r="H153" s="2">
        <v>115</v>
      </c>
      <c r="I153" s="2" cm="1">
        <f t="array" ref="I153">_xlfn.IFS(H153=115,2,H153=150,2,H153=200,1.5,H153=240,1.5,H153=90,2.2)</f>
        <v>2</v>
      </c>
      <c r="J153" s="2" cm="1">
        <f t="array" ref="J153">+_xlfn.IFS(H153=115,AVERAGE(1.49,1.5,1.05,1.7),H153=150,AVERAGE(1.49,1.5,1.05,1.7),H153=200,AVERAGE(1.15,1.15,0.9,1.3),H153=240,AVERAGE(1.15,1.15,0.9,1.3),H153=90,AVERAGE(1.15,1.15,0.9,1.3))</f>
        <v>1.4350000000000001</v>
      </c>
      <c r="K153" s="1"/>
      <c r="L153" s="2"/>
      <c r="M153" s="20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</row>
    <row r="154" spans="1:138" x14ac:dyDescent="0.3">
      <c r="A154" s="2"/>
      <c r="B154" s="2"/>
      <c r="C154" s="2"/>
      <c r="D154" s="2"/>
      <c r="E154" s="2"/>
      <c r="F154" s="2"/>
      <c r="G154" s="2"/>
      <c r="H154" s="2">
        <v>115</v>
      </c>
      <c r="I154" s="2" cm="1">
        <f t="array" ref="I154">_xlfn.IFS(H154=115,2,H154=150,2,H154=200,1.5,H154=240,1.5,H154=90,2.2)</f>
        <v>2</v>
      </c>
      <c r="J154" s="2" cm="1">
        <f t="array" ref="J154">+_xlfn.IFS(H154=115,AVERAGE(1.49,1.5,1.05,1.7),H154=150,AVERAGE(1.49,1.5,1.05,1.7),H154=200,AVERAGE(1.15,1.15,0.9,1.3),H154=240,AVERAGE(1.15,1.15,0.9,1.3),H154=90,AVERAGE(1.15,1.15,0.9,1.3))</f>
        <v>1.4350000000000001</v>
      </c>
      <c r="K154" s="1"/>
      <c r="L154" s="2"/>
      <c r="M154" s="20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</row>
    <row r="155" spans="1:138" x14ac:dyDescent="0.3">
      <c r="A155" s="2"/>
      <c r="B155" s="2"/>
      <c r="C155" s="2"/>
      <c r="D155" s="2"/>
      <c r="E155" s="2"/>
      <c r="F155" s="2"/>
      <c r="G155" s="2"/>
      <c r="H155" s="2">
        <v>115</v>
      </c>
      <c r="I155" s="2" cm="1">
        <f t="array" ref="I155">_xlfn.IFS(H155=115,2,H155=150,2,H155=200,1.5,H155=240,1.5,H155=90,2.2)</f>
        <v>2</v>
      </c>
      <c r="J155" s="2" cm="1">
        <f t="array" ref="J155">+_xlfn.IFS(H155=115,AVERAGE(1.49,1.5,1.05,1.7),H155=150,AVERAGE(1.49,1.5,1.05,1.7),H155=200,AVERAGE(1.15,1.15,0.9,1.3),H155=240,AVERAGE(1.15,1.15,0.9,1.3),H155=90,AVERAGE(1.15,1.15,0.9,1.3))</f>
        <v>1.4350000000000001</v>
      </c>
      <c r="K155" s="1"/>
      <c r="L155" s="2"/>
      <c r="M155" s="20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</row>
    <row r="156" spans="1:138" x14ac:dyDescent="0.3">
      <c r="A156" s="2"/>
      <c r="B156" s="2"/>
      <c r="C156" s="2"/>
      <c r="D156" s="2"/>
      <c r="E156" s="2"/>
      <c r="F156" s="2"/>
      <c r="G156" s="2"/>
      <c r="H156" s="2">
        <v>115</v>
      </c>
      <c r="I156" s="2" cm="1">
        <f t="array" ref="I156">_xlfn.IFS(H156=115,2,H156=150,2,H156=200,1.5,H156=240,1.5,H156=90,2.2)</f>
        <v>2</v>
      </c>
      <c r="J156" s="2" cm="1">
        <f t="array" ref="J156">+_xlfn.IFS(H156=115,AVERAGE(1.49,1.5,1.05,1.7),H156=150,AVERAGE(1.49,1.5,1.05,1.7),H156=200,AVERAGE(1.15,1.15,0.9,1.3),H156=240,AVERAGE(1.15,1.15,0.9,1.3),H156=90,AVERAGE(1.15,1.15,0.9,1.3))</f>
        <v>1.4350000000000001</v>
      </c>
      <c r="K156" s="1"/>
      <c r="L156" s="2"/>
      <c r="M156" s="20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</row>
    <row r="157" spans="1:138" x14ac:dyDescent="0.3">
      <c r="A157" s="2"/>
      <c r="B157" s="2"/>
      <c r="C157" s="2"/>
      <c r="D157" s="2"/>
      <c r="E157" s="2"/>
      <c r="F157" s="2"/>
      <c r="G157" s="2"/>
      <c r="H157" s="2">
        <v>115</v>
      </c>
      <c r="I157" s="2" cm="1">
        <f t="array" ref="I157">_xlfn.IFS(H157=115,2,H157=150,2,H157=200,1.5,H157=240,1.5,H157=90,2.2)</f>
        <v>2</v>
      </c>
      <c r="J157" s="2" cm="1">
        <f t="array" ref="J157">+_xlfn.IFS(H157=115,AVERAGE(1.49,1.5,1.05,1.7),H157=150,AVERAGE(1.49,1.5,1.05,1.7),H157=200,AVERAGE(1.15,1.15,0.9,1.3),H157=240,AVERAGE(1.15,1.15,0.9,1.3),H157=90,AVERAGE(1.15,1.15,0.9,1.3))</f>
        <v>1.4350000000000001</v>
      </c>
      <c r="K157" s="1"/>
      <c r="L157" s="2"/>
      <c r="M157" s="20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</row>
    <row r="158" spans="1:138" x14ac:dyDescent="0.3">
      <c r="A158" s="2"/>
      <c r="B158" s="2"/>
      <c r="C158" s="2"/>
      <c r="D158" s="2"/>
      <c r="E158" s="2"/>
      <c r="F158" s="2"/>
      <c r="G158" s="2"/>
      <c r="H158" s="2">
        <v>115</v>
      </c>
      <c r="I158" s="2" cm="1">
        <f t="array" ref="I158">_xlfn.IFS(H158=115,2,H158=150,2,H158=200,1.5,H158=240,1.5,H158=90,2.2)</f>
        <v>2</v>
      </c>
      <c r="J158" s="2" cm="1">
        <f t="array" ref="J158">+_xlfn.IFS(H158=115,AVERAGE(1.49,1.5,1.05,1.7),H158=150,AVERAGE(1.49,1.5,1.05,1.7),H158=200,AVERAGE(1.15,1.15,0.9,1.3),H158=240,AVERAGE(1.15,1.15,0.9,1.3),H158=90,AVERAGE(1.15,1.15,0.9,1.3))</f>
        <v>1.4350000000000001</v>
      </c>
      <c r="K158" s="1"/>
      <c r="L158" s="2"/>
      <c r="M158" s="20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</row>
    <row r="159" spans="1:138" x14ac:dyDescent="0.3">
      <c r="A159" s="2"/>
      <c r="B159" s="2"/>
      <c r="C159" s="2"/>
      <c r="D159" s="2"/>
      <c r="E159" s="2"/>
      <c r="F159" s="2"/>
      <c r="G159" s="2"/>
      <c r="H159" s="2">
        <v>115</v>
      </c>
      <c r="I159" s="2" cm="1">
        <f t="array" ref="I159">_xlfn.IFS(H159=115,2,H159=150,2,H159=200,1.5,H159=240,1.5,H159=90,2.2)</f>
        <v>2</v>
      </c>
      <c r="J159" s="2" cm="1">
        <f t="array" ref="J159">+_xlfn.IFS(H159=115,AVERAGE(1.49,1.5,1.05,1.7),H159=150,AVERAGE(1.49,1.5,1.05,1.7),H159=200,AVERAGE(1.15,1.15,0.9,1.3),H159=240,AVERAGE(1.15,1.15,0.9,1.3),H159=90,AVERAGE(1.15,1.15,0.9,1.3))</f>
        <v>1.4350000000000001</v>
      </c>
      <c r="K159" s="1"/>
      <c r="L159" s="2"/>
      <c r="M159" s="20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</row>
    <row r="160" spans="1:138" x14ac:dyDescent="0.3">
      <c r="A160" s="2"/>
      <c r="B160" s="2"/>
      <c r="C160" s="2"/>
      <c r="D160" s="2"/>
      <c r="E160" s="2"/>
      <c r="F160" s="2"/>
      <c r="G160" s="2"/>
      <c r="H160" s="2">
        <v>115</v>
      </c>
      <c r="I160" s="2" cm="1">
        <f t="array" ref="I160">_xlfn.IFS(H160=115,2,H160=150,2,H160=200,1.5,H160=240,1.5,H160=90,2.2)</f>
        <v>2</v>
      </c>
      <c r="J160" s="2" cm="1">
        <f t="array" ref="J160">+_xlfn.IFS(H160=115,AVERAGE(1.49,1.5,1.05,1.7),H160=150,AVERAGE(1.49,1.5,1.05,1.7),H160=200,AVERAGE(1.15,1.15,0.9,1.3),H160=240,AVERAGE(1.15,1.15,0.9,1.3),H160=90,AVERAGE(1.15,1.15,0.9,1.3))</f>
        <v>1.4350000000000001</v>
      </c>
      <c r="K160" s="1"/>
      <c r="L160" s="2"/>
      <c r="M160" s="20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</row>
    <row r="161" spans="1:138" x14ac:dyDescent="0.3">
      <c r="A161" s="2"/>
      <c r="B161" s="2"/>
      <c r="C161" s="2"/>
      <c r="D161" s="2"/>
      <c r="E161" s="2"/>
      <c r="F161" s="2"/>
      <c r="G161" s="2"/>
      <c r="H161" s="2">
        <v>115</v>
      </c>
      <c r="I161" s="2" cm="1">
        <f t="array" ref="I161">_xlfn.IFS(H161=115,2,H161=150,2,H161=200,1.5,H161=240,1.5,H161=90,2.2)</f>
        <v>2</v>
      </c>
      <c r="J161" s="2" cm="1">
        <f t="array" ref="J161">+_xlfn.IFS(H161=115,AVERAGE(1.49,1.5,1.05,1.7),H161=150,AVERAGE(1.49,1.5,1.05,1.7),H161=200,AVERAGE(1.15,1.15,0.9,1.3),H161=240,AVERAGE(1.15,1.15,0.9,1.3),H161=90,AVERAGE(1.15,1.15,0.9,1.3))</f>
        <v>1.4350000000000001</v>
      </c>
      <c r="K161" s="1"/>
      <c r="L161" s="2"/>
      <c r="M161" s="20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</row>
    <row r="162" spans="1:138" x14ac:dyDescent="0.3">
      <c r="A162" s="2"/>
      <c r="B162" s="2"/>
      <c r="C162" s="2"/>
      <c r="D162" s="2"/>
      <c r="E162" s="2"/>
      <c r="F162" s="2"/>
      <c r="G162" s="2"/>
      <c r="H162" s="2">
        <v>115</v>
      </c>
      <c r="I162" s="2" cm="1">
        <f t="array" ref="I162">_xlfn.IFS(H162=115,2,H162=150,2,H162=200,1.5,H162=240,1.5,H162=90,2.2)</f>
        <v>2</v>
      </c>
      <c r="J162" s="2" cm="1">
        <f t="array" ref="J162">+_xlfn.IFS(H162=115,AVERAGE(1.49,1.5,1.05,1.7),H162=150,AVERAGE(1.49,1.5,1.05,1.7),H162=200,AVERAGE(1.15,1.15,0.9,1.3),H162=240,AVERAGE(1.15,1.15,0.9,1.3),H162=90,AVERAGE(1.15,1.15,0.9,1.3))</f>
        <v>1.4350000000000001</v>
      </c>
      <c r="K162" s="1"/>
      <c r="L162" s="2"/>
      <c r="M162" s="20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</row>
    <row r="163" spans="1:138" x14ac:dyDescent="0.3">
      <c r="A163" s="2"/>
      <c r="B163" s="2"/>
      <c r="C163" s="2"/>
      <c r="D163" s="2"/>
      <c r="E163" s="2"/>
      <c r="F163" s="2"/>
      <c r="G163" s="2"/>
      <c r="H163" s="2">
        <v>115</v>
      </c>
      <c r="I163" s="2" cm="1">
        <f t="array" ref="I163">_xlfn.IFS(H163=115,2,H163=150,2,H163=200,1.5,H163=240,1.5,H163=90,2.2)</f>
        <v>2</v>
      </c>
      <c r="J163" s="2" cm="1">
        <f t="array" ref="J163">+_xlfn.IFS(H163=115,AVERAGE(1.49,1.5,1.05,1.7),H163=150,AVERAGE(1.49,1.5,1.05,1.7),H163=200,AVERAGE(1.15,1.15,0.9,1.3),H163=240,AVERAGE(1.15,1.15,0.9,1.3),H163=90,AVERAGE(1.15,1.15,0.9,1.3))</f>
        <v>1.4350000000000001</v>
      </c>
      <c r="K163" s="1"/>
      <c r="L163" s="2"/>
      <c r="M163" s="20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</row>
    <row r="164" spans="1:138" x14ac:dyDescent="0.3">
      <c r="A164" s="2"/>
      <c r="B164" s="2"/>
      <c r="C164" s="2"/>
      <c r="D164" s="2"/>
      <c r="E164" s="2"/>
      <c r="F164" s="2"/>
      <c r="G164" s="2"/>
      <c r="H164" s="2">
        <v>115</v>
      </c>
      <c r="I164" s="2" cm="1">
        <f t="array" ref="I164">_xlfn.IFS(H164=115,2,H164=150,2,H164=200,1.5,H164=240,1.5,H164=90,2.2)</f>
        <v>2</v>
      </c>
      <c r="J164" s="2" cm="1">
        <f t="array" ref="J164">+_xlfn.IFS(H164=115,AVERAGE(1.49,1.5,1.05,1.7),H164=150,AVERAGE(1.49,1.5,1.05,1.7),H164=200,AVERAGE(1.15,1.15,0.9,1.3),H164=240,AVERAGE(1.15,1.15,0.9,1.3),H164=90,AVERAGE(1.15,1.15,0.9,1.3))</f>
        <v>1.4350000000000001</v>
      </c>
      <c r="K164" s="1"/>
      <c r="L164" s="2"/>
      <c r="M164" s="20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</row>
    <row r="165" spans="1:138" x14ac:dyDescent="0.3">
      <c r="A165" s="2"/>
      <c r="B165" s="2"/>
      <c r="C165" s="2"/>
      <c r="D165" s="2"/>
      <c r="E165" s="2"/>
      <c r="F165" s="2"/>
      <c r="G165" s="2"/>
      <c r="H165" s="2">
        <v>115</v>
      </c>
      <c r="I165" s="2" cm="1">
        <f t="array" ref="I165">_xlfn.IFS(H165=115,2,H165=150,2,H165=200,1.5,H165=240,1.5,H165=90,2.2)</f>
        <v>2</v>
      </c>
      <c r="J165" s="2" cm="1">
        <f t="array" ref="J165">+_xlfn.IFS(H165=115,AVERAGE(1.49,1.5,1.05,1.7),H165=150,AVERAGE(1.49,1.5,1.05,1.7),H165=200,AVERAGE(1.15,1.15,0.9,1.3),H165=240,AVERAGE(1.15,1.15,0.9,1.3),H165=90,AVERAGE(1.15,1.15,0.9,1.3))</f>
        <v>1.4350000000000001</v>
      </c>
      <c r="K165" s="1"/>
      <c r="L165" s="2"/>
      <c r="M165" s="20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</row>
    <row r="166" spans="1:138" x14ac:dyDescent="0.3">
      <c r="A166" s="2"/>
      <c r="B166" s="2"/>
      <c r="C166" s="2"/>
      <c r="D166" s="2"/>
      <c r="E166" s="2"/>
      <c r="F166" s="2"/>
      <c r="G166" s="2"/>
      <c r="H166" s="2">
        <v>115</v>
      </c>
      <c r="I166" s="2" cm="1">
        <f t="array" ref="I166">_xlfn.IFS(H166=115,2,H166=150,2,H166=200,1.5,H166=240,1.5,H166=90,2.2)</f>
        <v>2</v>
      </c>
      <c r="J166" s="2" cm="1">
        <f t="array" ref="J166">+_xlfn.IFS(H166=115,AVERAGE(1.49,1.5,1.05,1.7),H166=150,AVERAGE(1.49,1.5,1.05,1.7),H166=200,AVERAGE(1.15,1.15,0.9,1.3),H166=240,AVERAGE(1.15,1.15,0.9,1.3),H166=90,AVERAGE(1.15,1.15,0.9,1.3))</f>
        <v>1.4350000000000001</v>
      </c>
      <c r="K166" s="1"/>
      <c r="L166" s="2"/>
      <c r="M166" s="20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</row>
    <row r="167" spans="1:138" x14ac:dyDescent="0.3">
      <c r="A167" s="2"/>
      <c r="B167" s="2"/>
      <c r="C167" s="2"/>
      <c r="D167" s="2"/>
      <c r="E167" s="2"/>
      <c r="F167" s="2"/>
      <c r="G167" s="2"/>
      <c r="H167" s="2">
        <v>115</v>
      </c>
      <c r="I167" s="2" cm="1">
        <f t="array" ref="I167">_xlfn.IFS(H167=115,2,H167=150,2,H167=200,1.5,H167=240,1.5,H167=90,2.2)</f>
        <v>2</v>
      </c>
      <c r="J167" s="2" cm="1">
        <f t="array" ref="J167">+_xlfn.IFS(H167=115,AVERAGE(1.49,1.5,1.05,1.7),H167=150,AVERAGE(1.49,1.5,1.05,1.7),H167=200,AVERAGE(1.15,1.15,0.9,1.3),H167=240,AVERAGE(1.15,1.15,0.9,1.3),H167=90,AVERAGE(1.15,1.15,0.9,1.3))</f>
        <v>1.4350000000000001</v>
      </c>
      <c r="K167" s="1"/>
      <c r="L167" s="2"/>
      <c r="M167" s="20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</row>
    <row r="168" spans="1:138" x14ac:dyDescent="0.3">
      <c r="A168" s="2"/>
      <c r="B168" s="2"/>
      <c r="C168" s="2"/>
      <c r="D168" s="2"/>
      <c r="E168" s="2"/>
      <c r="F168" s="2"/>
      <c r="G168" s="2"/>
      <c r="H168" s="2">
        <v>115</v>
      </c>
      <c r="I168" s="2" cm="1">
        <f t="array" ref="I168">_xlfn.IFS(H168=115,2,H168=150,2,H168=200,1.5,H168=240,1.5,H168=90,2.2)</f>
        <v>2</v>
      </c>
      <c r="J168" s="2" cm="1">
        <f t="array" ref="J168">+_xlfn.IFS(H168=115,AVERAGE(1.49,1.5,1.05,1.7),H168=150,AVERAGE(1.49,1.5,1.05,1.7),H168=200,AVERAGE(1.15,1.15,0.9,1.3),H168=240,AVERAGE(1.15,1.15,0.9,1.3),H168=90,AVERAGE(1.15,1.15,0.9,1.3))</f>
        <v>1.4350000000000001</v>
      </c>
      <c r="K168" s="1"/>
      <c r="L168" s="2"/>
      <c r="M168" s="20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</row>
    <row r="169" spans="1:138" x14ac:dyDescent="0.3">
      <c r="A169" s="2"/>
      <c r="B169" s="2"/>
      <c r="C169" s="2"/>
      <c r="D169" s="2"/>
      <c r="E169" s="2"/>
      <c r="F169" s="2"/>
      <c r="G169" s="2"/>
      <c r="H169" s="2">
        <v>115</v>
      </c>
      <c r="I169" s="2" cm="1">
        <f t="array" ref="I169">_xlfn.IFS(H169=115,2,H169=150,2,H169=200,1.5,H169=240,1.5,H169=90,2.2)</f>
        <v>2</v>
      </c>
      <c r="J169" s="2" cm="1">
        <f t="array" ref="J169">+_xlfn.IFS(H169=115,AVERAGE(1.49,1.5,1.05,1.7),H169=150,AVERAGE(1.49,1.5,1.05,1.7),H169=200,AVERAGE(1.15,1.15,0.9,1.3),H169=240,AVERAGE(1.15,1.15,0.9,1.3),H169=90,AVERAGE(1.15,1.15,0.9,1.3))</f>
        <v>1.4350000000000001</v>
      </c>
      <c r="K169" s="1"/>
      <c r="L169" s="2"/>
      <c r="M169" s="20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</row>
    <row r="170" spans="1:138" x14ac:dyDescent="0.3">
      <c r="A170" s="2"/>
      <c r="B170" s="2"/>
      <c r="C170" s="2"/>
      <c r="D170" s="2"/>
      <c r="E170" s="2"/>
      <c r="F170" s="2"/>
      <c r="G170" s="2"/>
      <c r="H170" s="2">
        <v>115</v>
      </c>
      <c r="I170" s="2" cm="1">
        <f t="array" ref="I170">_xlfn.IFS(H170=115,2,H170=150,2,H170=200,1.5,H170=240,1.5,H170=90,2.2)</f>
        <v>2</v>
      </c>
      <c r="J170" s="2" cm="1">
        <f t="array" ref="J170">+_xlfn.IFS(H170=115,AVERAGE(1.49,1.5,1.05,1.7),H170=150,AVERAGE(1.49,1.5,1.05,1.7),H170=200,AVERAGE(1.15,1.15,0.9,1.3),H170=240,AVERAGE(1.15,1.15,0.9,1.3),H170=90,AVERAGE(1.15,1.15,0.9,1.3))</f>
        <v>1.4350000000000001</v>
      </c>
      <c r="K170" s="1"/>
      <c r="L170" s="2"/>
      <c r="M170" s="20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</row>
    <row r="171" spans="1:138" x14ac:dyDescent="0.3">
      <c r="A171" s="2"/>
      <c r="B171" s="2"/>
      <c r="C171" s="2"/>
      <c r="D171" s="2"/>
      <c r="E171" s="2"/>
      <c r="F171" s="2"/>
      <c r="G171" s="2"/>
      <c r="H171" s="2">
        <v>115</v>
      </c>
      <c r="I171" s="2" cm="1">
        <f t="array" ref="I171">_xlfn.IFS(H171=115,2,H171=150,2,H171=200,1.5,H171=240,1.5,H171=90,2.2)</f>
        <v>2</v>
      </c>
      <c r="J171" s="2" cm="1">
        <f t="array" ref="J171">+_xlfn.IFS(H171=115,AVERAGE(1.49,1.5,1.05,1.7),H171=150,AVERAGE(1.49,1.5,1.05,1.7),H171=200,AVERAGE(1.15,1.15,0.9,1.3),H171=240,AVERAGE(1.15,1.15,0.9,1.3),H171=90,AVERAGE(1.15,1.15,0.9,1.3))</f>
        <v>1.4350000000000001</v>
      </c>
      <c r="K171" s="1"/>
      <c r="L171" s="2"/>
      <c r="M171" s="20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</row>
    <row r="172" spans="1:138" x14ac:dyDescent="0.3">
      <c r="A172" s="2"/>
      <c r="B172" s="2"/>
      <c r="C172" s="2"/>
      <c r="D172" s="2"/>
      <c r="E172" s="2"/>
      <c r="F172" s="2"/>
      <c r="G172" s="2"/>
      <c r="H172" s="2">
        <v>115</v>
      </c>
      <c r="I172" s="2" cm="1">
        <f t="array" ref="I172">_xlfn.IFS(H172=115,2,H172=150,2,H172=200,1.5,H172=240,1.5,H172=90,2.2)</f>
        <v>2</v>
      </c>
      <c r="J172" s="2" cm="1">
        <f t="array" ref="J172">+_xlfn.IFS(H172=115,AVERAGE(1.49,1.5,1.05,1.7),H172=150,AVERAGE(1.49,1.5,1.05,1.7),H172=200,AVERAGE(1.15,1.15,0.9,1.3),H172=240,AVERAGE(1.15,1.15,0.9,1.3),H172=90,AVERAGE(1.15,1.15,0.9,1.3))</f>
        <v>1.4350000000000001</v>
      </c>
      <c r="K172" s="1"/>
      <c r="L172" s="2"/>
      <c r="M172" s="20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</row>
    <row r="173" spans="1:138" x14ac:dyDescent="0.3">
      <c r="A173" s="2"/>
      <c r="B173" s="2"/>
      <c r="C173" s="2"/>
      <c r="D173" s="2"/>
      <c r="E173" s="2"/>
      <c r="F173" s="2"/>
      <c r="G173" s="2"/>
      <c r="H173" s="2">
        <v>115</v>
      </c>
      <c r="I173" s="2" cm="1">
        <f t="array" ref="I173">_xlfn.IFS(H173=115,2,H173=150,2,H173=200,1.5,H173=240,1.5,H173=90,2.2)</f>
        <v>2</v>
      </c>
      <c r="J173" s="2" cm="1">
        <f t="array" ref="J173">+_xlfn.IFS(H173=115,AVERAGE(1.49,1.5,1.05,1.7),H173=150,AVERAGE(1.49,1.5,1.05,1.7),H173=200,AVERAGE(1.15,1.15,0.9,1.3),H173=240,AVERAGE(1.15,1.15,0.9,1.3),H173=90,AVERAGE(1.15,1.15,0.9,1.3))</f>
        <v>1.4350000000000001</v>
      </c>
      <c r="K173" s="1"/>
      <c r="L173" s="2"/>
      <c r="M173" s="20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</row>
    <row r="174" spans="1:138" x14ac:dyDescent="0.3">
      <c r="A174" s="2"/>
      <c r="B174" s="2"/>
      <c r="C174" s="2"/>
      <c r="D174" s="2"/>
      <c r="E174" s="2"/>
      <c r="F174" s="2"/>
      <c r="G174" s="2"/>
      <c r="H174" s="2">
        <v>115</v>
      </c>
      <c r="I174" s="2" cm="1">
        <f t="array" ref="I174">_xlfn.IFS(H174=115,2,H174=150,2,H174=200,1.5,H174=240,1.5,H174=90,2.2)</f>
        <v>2</v>
      </c>
      <c r="J174" s="2" cm="1">
        <f t="array" ref="J174">+_xlfn.IFS(H174=115,AVERAGE(1.49,1.5,1.05,1.7),H174=150,AVERAGE(1.49,1.5,1.05,1.7),H174=200,AVERAGE(1.15,1.15,0.9,1.3),H174=240,AVERAGE(1.15,1.15,0.9,1.3),H174=90,AVERAGE(1.15,1.15,0.9,1.3))</f>
        <v>1.4350000000000001</v>
      </c>
      <c r="K174" s="1"/>
      <c r="L174" s="2"/>
      <c r="M174" s="20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</row>
    <row r="175" spans="1:138" x14ac:dyDescent="0.3">
      <c r="A175" s="2"/>
      <c r="B175" s="2"/>
      <c r="C175" s="2"/>
      <c r="D175" s="2"/>
      <c r="E175" s="2"/>
      <c r="F175" s="2"/>
      <c r="G175" s="2"/>
      <c r="H175" s="2">
        <v>115</v>
      </c>
      <c r="I175" s="2" cm="1">
        <f t="array" ref="I175">_xlfn.IFS(H175=115,2,H175=150,2,H175=200,1.5,H175=240,1.5,H175=90,2.2)</f>
        <v>2</v>
      </c>
      <c r="J175" s="2" cm="1">
        <f t="array" ref="J175">+_xlfn.IFS(H175=115,AVERAGE(1.49,1.5,1.05,1.7),H175=150,AVERAGE(1.49,1.5,1.05,1.7),H175=200,AVERAGE(1.15,1.15,0.9,1.3),H175=240,AVERAGE(1.15,1.15,0.9,1.3),H175=90,AVERAGE(1.15,1.15,0.9,1.3))</f>
        <v>1.4350000000000001</v>
      </c>
      <c r="K175" s="1"/>
      <c r="L175" s="2"/>
      <c r="M175" s="20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</row>
    <row r="176" spans="1:138" x14ac:dyDescent="0.3">
      <c r="A176" s="2"/>
      <c r="B176" s="2"/>
      <c r="C176" s="2"/>
      <c r="D176" s="2"/>
      <c r="E176" s="2"/>
      <c r="F176" s="2"/>
      <c r="G176" s="2"/>
      <c r="H176" s="2">
        <v>115</v>
      </c>
      <c r="I176" s="2" cm="1">
        <f t="array" ref="I176">_xlfn.IFS(H176=115,2,H176=150,2,H176=200,1.5,H176=240,1.5,H176=90,2.2)</f>
        <v>2</v>
      </c>
      <c r="J176" s="2" cm="1">
        <f t="array" ref="J176">+_xlfn.IFS(H176=115,AVERAGE(1.49,1.5,1.05,1.7),H176=150,AVERAGE(1.49,1.5,1.05,1.7),H176=200,AVERAGE(1.15,1.15,0.9,1.3),H176=240,AVERAGE(1.15,1.15,0.9,1.3),H176=90,AVERAGE(1.15,1.15,0.9,1.3))</f>
        <v>1.4350000000000001</v>
      </c>
      <c r="K176" s="1"/>
      <c r="L176" s="2"/>
      <c r="M176" s="20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</row>
    <row r="177" spans="1:138" x14ac:dyDescent="0.3">
      <c r="A177" s="2"/>
      <c r="B177" s="2"/>
      <c r="C177" s="2"/>
      <c r="D177" s="2"/>
      <c r="E177" s="2"/>
      <c r="F177" s="2"/>
      <c r="G177" s="2"/>
      <c r="H177" s="2">
        <v>115</v>
      </c>
      <c r="I177" s="2" cm="1">
        <f t="array" ref="I177">_xlfn.IFS(H177=115,2,H177=150,2,H177=200,1.5,H177=240,1.5,H177=90,2.2)</f>
        <v>2</v>
      </c>
      <c r="J177" s="2" cm="1">
        <f t="array" ref="J177">+_xlfn.IFS(H177=115,AVERAGE(1.49,1.5,1.05,1.7),H177=150,AVERAGE(1.49,1.5,1.05,1.7),H177=200,AVERAGE(1.15,1.15,0.9,1.3),H177=240,AVERAGE(1.15,1.15,0.9,1.3),H177=90,AVERAGE(1.15,1.15,0.9,1.3))</f>
        <v>1.4350000000000001</v>
      </c>
      <c r="K177" s="1"/>
      <c r="L177" s="2"/>
      <c r="M177" s="20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</row>
    <row r="178" spans="1:138" x14ac:dyDescent="0.3">
      <c r="A178" s="2"/>
      <c r="B178" s="2"/>
      <c r="C178" s="2"/>
      <c r="D178" s="2"/>
      <c r="E178" s="2"/>
      <c r="F178" s="2"/>
      <c r="G178" s="2"/>
      <c r="H178" s="2">
        <v>115</v>
      </c>
      <c r="I178" s="2" cm="1">
        <f t="array" ref="I178">_xlfn.IFS(H178=115,2,H178=150,2,H178=200,1.5,H178=240,1.5,H178=90,2.2)</f>
        <v>2</v>
      </c>
      <c r="J178" s="2" cm="1">
        <f t="array" ref="J178">+_xlfn.IFS(H178=115,AVERAGE(1.49,1.5,1.05,1.7),H178=150,AVERAGE(1.49,1.5,1.05,1.7),H178=200,AVERAGE(1.15,1.15,0.9,1.3),H178=240,AVERAGE(1.15,1.15,0.9,1.3),H178=90,AVERAGE(1.15,1.15,0.9,1.3))</f>
        <v>1.4350000000000001</v>
      </c>
      <c r="K178" s="1"/>
      <c r="L178" s="2"/>
      <c r="M178" s="20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</row>
    <row r="179" spans="1:138" x14ac:dyDescent="0.3">
      <c r="A179" s="2"/>
      <c r="B179" s="2"/>
      <c r="C179" s="2"/>
      <c r="D179" s="2"/>
      <c r="E179" s="2"/>
      <c r="F179" s="2"/>
      <c r="G179" s="2"/>
      <c r="H179" s="2">
        <v>115</v>
      </c>
      <c r="I179" s="2" cm="1">
        <f t="array" ref="I179">_xlfn.IFS(H179=115,2,H179=150,2,H179=200,1.5,H179=240,1.5,H179=90,2.2)</f>
        <v>2</v>
      </c>
      <c r="J179" s="2" cm="1">
        <f t="array" ref="J179">+_xlfn.IFS(H179=115,AVERAGE(1.49,1.5,1.05,1.7),H179=150,AVERAGE(1.49,1.5,1.05,1.7),H179=200,AVERAGE(1.15,1.15,0.9,1.3),H179=240,AVERAGE(1.15,1.15,0.9,1.3),H179=90,AVERAGE(1.15,1.15,0.9,1.3))</f>
        <v>1.4350000000000001</v>
      </c>
      <c r="K179" s="1"/>
      <c r="L179" s="2"/>
      <c r="M179" s="20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</row>
    <row r="180" spans="1:138" x14ac:dyDescent="0.3">
      <c r="A180" s="2"/>
      <c r="B180" s="2"/>
      <c r="C180" s="2"/>
      <c r="D180" s="2"/>
      <c r="E180" s="2"/>
      <c r="F180" s="2"/>
      <c r="G180" s="2"/>
      <c r="H180" s="2">
        <v>115</v>
      </c>
      <c r="I180" s="2" cm="1">
        <f t="array" ref="I180">_xlfn.IFS(H180=115,2,H180=150,2,H180=200,1.5,H180=240,1.5,H180=90,2.2)</f>
        <v>2</v>
      </c>
      <c r="J180" s="2" cm="1">
        <f t="array" ref="J180">+_xlfn.IFS(H180=115,AVERAGE(1.49,1.5,1.05,1.7),H180=150,AVERAGE(1.49,1.5,1.05,1.7),H180=200,AVERAGE(1.15,1.15,0.9,1.3),H180=240,AVERAGE(1.15,1.15,0.9,1.3),H180=90,AVERAGE(1.15,1.15,0.9,1.3))</f>
        <v>1.4350000000000001</v>
      </c>
      <c r="K180" s="1"/>
      <c r="L180" s="2"/>
      <c r="M180" s="20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</row>
    <row r="181" spans="1:138" x14ac:dyDescent="0.3">
      <c r="A181" s="2"/>
      <c r="B181" s="2"/>
      <c r="C181" s="2"/>
      <c r="D181" s="2"/>
      <c r="E181" s="2"/>
      <c r="F181" s="2"/>
      <c r="G181" s="2"/>
      <c r="H181" s="2">
        <v>115</v>
      </c>
      <c r="I181" s="2" cm="1">
        <f t="array" ref="I181">_xlfn.IFS(H181=115,2,H181=150,2,H181=200,1.5,H181=240,1.5,H181=90,2.2)</f>
        <v>2</v>
      </c>
      <c r="J181" s="2" cm="1">
        <f t="array" ref="J181">+_xlfn.IFS(H181=115,AVERAGE(1.49,1.5,1.05,1.7),H181=150,AVERAGE(1.49,1.5,1.05,1.7),H181=200,AVERAGE(1.15,1.15,0.9,1.3),H181=240,AVERAGE(1.15,1.15,0.9,1.3),H181=90,AVERAGE(1.15,1.15,0.9,1.3))</f>
        <v>1.4350000000000001</v>
      </c>
      <c r="K181" s="1"/>
      <c r="L181" s="2"/>
      <c r="M181" s="20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</row>
    <row r="182" spans="1:138" x14ac:dyDescent="0.3">
      <c r="A182" s="2"/>
      <c r="B182" s="2"/>
      <c r="C182" s="2"/>
      <c r="D182" s="2"/>
      <c r="E182" s="2"/>
      <c r="F182" s="2"/>
      <c r="G182" s="2"/>
      <c r="H182" s="2">
        <v>115</v>
      </c>
      <c r="I182" s="2" cm="1">
        <f t="array" ref="I182">_xlfn.IFS(H182=115,2,H182=150,2,H182=200,1.5,H182=240,1.5,H182=90,2.2)</f>
        <v>2</v>
      </c>
      <c r="J182" s="2" cm="1">
        <f t="array" ref="J182">+_xlfn.IFS(H182=115,AVERAGE(1.49,1.5,1.05,1.7),H182=150,AVERAGE(1.49,1.5,1.05,1.7),H182=200,AVERAGE(1.15,1.15,0.9,1.3),H182=240,AVERAGE(1.15,1.15,0.9,1.3),H182=90,AVERAGE(1.15,1.15,0.9,1.3))</f>
        <v>1.4350000000000001</v>
      </c>
      <c r="K182" s="1"/>
      <c r="L182" s="2"/>
      <c r="M182" s="20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</row>
    <row r="183" spans="1:138" x14ac:dyDescent="0.3">
      <c r="A183" s="2"/>
      <c r="B183" s="2"/>
      <c r="C183" s="2"/>
      <c r="D183" s="2"/>
      <c r="E183" s="2"/>
      <c r="F183" s="2"/>
      <c r="G183" s="2"/>
      <c r="H183" s="2">
        <v>115</v>
      </c>
      <c r="I183" s="2" cm="1">
        <f t="array" ref="I183">_xlfn.IFS(H183=115,2,H183=150,2,H183=200,1.5,H183=240,1.5,H183=90,2.2)</f>
        <v>2</v>
      </c>
      <c r="J183" s="2" cm="1">
        <f t="array" ref="J183">+_xlfn.IFS(H183=115,AVERAGE(1.49,1.5,1.05,1.7),H183=150,AVERAGE(1.49,1.5,1.05,1.7),H183=200,AVERAGE(1.15,1.15,0.9,1.3),H183=240,AVERAGE(1.15,1.15,0.9,1.3),H183=90,AVERAGE(1.15,1.15,0.9,1.3))</f>
        <v>1.4350000000000001</v>
      </c>
      <c r="K183" s="1"/>
      <c r="L183" s="2"/>
      <c r="M183" s="20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</row>
    <row r="184" spans="1:138" x14ac:dyDescent="0.3">
      <c r="A184" s="2"/>
      <c r="B184" s="2"/>
      <c r="C184" s="2"/>
      <c r="D184" s="2"/>
      <c r="E184" s="2"/>
      <c r="F184" s="2"/>
      <c r="G184" s="2"/>
      <c r="H184" s="2">
        <v>115</v>
      </c>
      <c r="I184" s="2" cm="1">
        <f t="array" ref="I184">_xlfn.IFS(H184=115,2,H184=150,2,H184=200,1.5,H184=240,1.5,H184=90,2.2)</f>
        <v>2</v>
      </c>
      <c r="J184" s="2" cm="1">
        <f t="array" ref="J184">+_xlfn.IFS(H184=115,AVERAGE(1.49,1.5,1.05,1.7),H184=150,AVERAGE(1.49,1.5,1.05,1.7),H184=200,AVERAGE(1.15,1.15,0.9,1.3),H184=240,AVERAGE(1.15,1.15,0.9,1.3),H184=90,AVERAGE(1.15,1.15,0.9,1.3))</f>
        <v>1.4350000000000001</v>
      </c>
      <c r="K184" s="1"/>
      <c r="L184" s="2"/>
      <c r="M184" s="20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</row>
    <row r="185" spans="1:138" x14ac:dyDescent="0.3">
      <c r="A185" s="2"/>
      <c r="B185" s="2"/>
      <c r="C185" s="2"/>
      <c r="D185" s="2"/>
      <c r="E185" s="2"/>
      <c r="F185" s="2"/>
      <c r="G185" s="2"/>
      <c r="H185" s="2">
        <v>115</v>
      </c>
      <c r="I185" s="2" cm="1">
        <f t="array" ref="I185">_xlfn.IFS(H185=115,2,H185=150,2,H185=200,1.5,H185=240,1.5,H185=90,2.2)</f>
        <v>2</v>
      </c>
      <c r="J185" s="2" cm="1">
        <f t="array" ref="J185">+_xlfn.IFS(H185=115,AVERAGE(1.49,1.5,1.05,1.7),H185=150,AVERAGE(1.49,1.5,1.05,1.7),H185=200,AVERAGE(1.15,1.15,0.9,1.3),H185=240,AVERAGE(1.15,1.15,0.9,1.3),H185=90,AVERAGE(1.15,1.15,0.9,1.3))</f>
        <v>1.4350000000000001</v>
      </c>
      <c r="K185" s="1"/>
      <c r="L185" s="2"/>
      <c r="M185" s="20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</row>
    <row r="186" spans="1:138" x14ac:dyDescent="0.3">
      <c r="A186" s="2"/>
      <c r="B186" s="2"/>
      <c r="C186" s="2"/>
      <c r="D186" s="2"/>
      <c r="E186" s="2"/>
      <c r="F186" s="2"/>
      <c r="G186" s="2"/>
      <c r="H186" s="2">
        <v>115</v>
      </c>
      <c r="I186" s="2" cm="1">
        <f t="array" ref="I186">_xlfn.IFS(H186=115,2,H186=150,2,H186=200,1.5,H186=240,1.5,H186=90,2.2)</f>
        <v>2</v>
      </c>
      <c r="J186" s="2" cm="1">
        <f t="array" ref="J186">+_xlfn.IFS(H186=115,AVERAGE(1.49,1.5,1.05,1.7),H186=150,AVERAGE(1.49,1.5,1.05,1.7),H186=200,AVERAGE(1.15,1.15,0.9,1.3),H186=240,AVERAGE(1.15,1.15,0.9,1.3),H186=90,AVERAGE(1.15,1.15,0.9,1.3))</f>
        <v>1.4350000000000001</v>
      </c>
      <c r="K186" s="1"/>
      <c r="L186" s="2"/>
      <c r="M186" s="20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</row>
    <row r="187" spans="1:138" x14ac:dyDescent="0.3">
      <c r="A187" s="2"/>
      <c r="B187" s="2"/>
      <c r="C187" s="2"/>
      <c r="D187" s="2"/>
      <c r="E187" s="2"/>
      <c r="F187" s="2"/>
      <c r="G187" s="2"/>
      <c r="H187" s="2">
        <v>115</v>
      </c>
      <c r="I187" s="2" cm="1">
        <f t="array" ref="I187">_xlfn.IFS(H187=115,2,H187=150,2,H187=200,1.5,H187=240,1.5,H187=90,2.2)</f>
        <v>2</v>
      </c>
      <c r="J187" s="2" cm="1">
        <f t="array" ref="J187">+_xlfn.IFS(H187=115,AVERAGE(1.49,1.5,1.05,1.7),H187=150,AVERAGE(1.49,1.5,1.05,1.7),H187=200,AVERAGE(1.15,1.15,0.9,1.3),H187=240,AVERAGE(1.15,1.15,0.9,1.3),H187=90,AVERAGE(1.15,1.15,0.9,1.3))</f>
        <v>1.4350000000000001</v>
      </c>
      <c r="K187" s="1"/>
      <c r="L187" s="2"/>
      <c r="M187" s="20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</row>
    <row r="188" spans="1:138" x14ac:dyDescent="0.3">
      <c r="A188" s="2"/>
      <c r="B188" s="2"/>
      <c r="C188" s="2"/>
      <c r="D188" s="2"/>
      <c r="E188" s="2"/>
      <c r="F188" s="2"/>
      <c r="G188" s="2"/>
      <c r="H188" s="2">
        <v>115</v>
      </c>
      <c r="I188" s="2" cm="1">
        <f t="array" ref="I188">_xlfn.IFS(H188=115,2,H188=150,2,H188=200,1.5,H188=240,1.5,H188=90,2.2)</f>
        <v>2</v>
      </c>
      <c r="J188" s="2" cm="1">
        <f t="array" ref="J188">+_xlfn.IFS(H188=115,AVERAGE(1.49,1.5,1.05,1.7),H188=150,AVERAGE(1.49,1.5,1.05,1.7),H188=200,AVERAGE(1.15,1.15,0.9,1.3),H188=240,AVERAGE(1.15,1.15,0.9,1.3),H188=90,AVERAGE(1.15,1.15,0.9,1.3))</f>
        <v>1.4350000000000001</v>
      </c>
      <c r="K188" s="1"/>
      <c r="L188" s="2"/>
      <c r="M188" s="20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</row>
    <row r="189" spans="1:138" x14ac:dyDescent="0.3">
      <c r="A189" s="2"/>
      <c r="B189" s="2"/>
      <c r="C189" s="2"/>
      <c r="D189" s="2"/>
      <c r="E189" s="2"/>
      <c r="F189" s="2"/>
      <c r="G189" s="2"/>
      <c r="H189" s="2">
        <v>115</v>
      </c>
      <c r="I189" s="2" cm="1">
        <f t="array" ref="I189">_xlfn.IFS(H189=115,2,H189=150,2,H189=200,1.5,H189=240,1.5,H189=90,2.2)</f>
        <v>2</v>
      </c>
      <c r="J189" s="2" cm="1">
        <f t="array" ref="J189">+_xlfn.IFS(H189=115,AVERAGE(1.49,1.5,1.05,1.7),H189=150,AVERAGE(1.49,1.5,1.05,1.7),H189=200,AVERAGE(1.15,1.15,0.9,1.3),H189=240,AVERAGE(1.15,1.15,0.9,1.3),H189=90,AVERAGE(1.15,1.15,0.9,1.3))</f>
        <v>1.4350000000000001</v>
      </c>
      <c r="K189" s="1"/>
      <c r="L189" s="2"/>
      <c r="M189" s="20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</row>
    <row r="190" spans="1:138" x14ac:dyDescent="0.3">
      <c r="A190" s="2"/>
      <c r="B190" s="2"/>
      <c r="C190" s="2"/>
      <c r="D190" s="2"/>
      <c r="E190" s="2"/>
      <c r="F190" s="2"/>
      <c r="G190" s="2"/>
      <c r="H190" s="2">
        <v>115</v>
      </c>
      <c r="I190" s="2" cm="1">
        <f t="array" ref="I190">_xlfn.IFS(H190=115,2,H190=150,2,H190=200,1.5,H190=240,1.5,H190=90,2.2)</f>
        <v>2</v>
      </c>
      <c r="J190" s="2" cm="1">
        <f t="array" ref="J190">+_xlfn.IFS(H190=115,AVERAGE(1.49,1.5,1.05,1.7),H190=150,AVERAGE(1.49,1.5,1.05,1.7),H190=200,AVERAGE(1.15,1.15,0.9,1.3),H190=240,AVERAGE(1.15,1.15,0.9,1.3),H190=90,AVERAGE(1.15,1.15,0.9,1.3))</f>
        <v>1.4350000000000001</v>
      </c>
      <c r="K190" s="1"/>
      <c r="L190" s="2"/>
      <c r="M190" s="20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</row>
    <row r="191" spans="1:138" x14ac:dyDescent="0.3">
      <c r="A191" s="2"/>
      <c r="B191" s="2"/>
      <c r="C191" s="2"/>
      <c r="D191" s="2"/>
      <c r="E191" s="2"/>
      <c r="F191" s="2"/>
      <c r="G191" s="2"/>
      <c r="H191" s="2">
        <v>115</v>
      </c>
      <c r="I191" s="2" cm="1">
        <f t="array" ref="I191">_xlfn.IFS(H191=115,2,H191=150,2,H191=200,1.5,H191=240,1.5,H191=90,2.2)</f>
        <v>2</v>
      </c>
      <c r="J191" s="2" cm="1">
        <f t="array" ref="J191">+_xlfn.IFS(H191=115,AVERAGE(1.49,1.5,1.05,1.7),H191=150,AVERAGE(1.49,1.5,1.05,1.7),H191=200,AVERAGE(1.15,1.15,0.9,1.3),H191=240,AVERAGE(1.15,1.15,0.9,1.3),H191=90,AVERAGE(1.15,1.15,0.9,1.3))</f>
        <v>1.4350000000000001</v>
      </c>
      <c r="K191" s="1"/>
      <c r="L191" s="2"/>
      <c r="M191" s="20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</row>
    <row r="192" spans="1:138" x14ac:dyDescent="0.3">
      <c r="A192" s="2"/>
      <c r="B192" s="2"/>
      <c r="C192" s="2"/>
      <c r="D192" s="2"/>
      <c r="E192" s="2"/>
      <c r="F192" s="2"/>
      <c r="G192" s="2"/>
      <c r="H192" s="2">
        <v>115</v>
      </c>
      <c r="I192" s="2" cm="1">
        <f t="array" ref="I192">_xlfn.IFS(H192=115,2,H192=150,2,H192=200,1.5,H192=240,1.5,H192=90,2.2)</f>
        <v>2</v>
      </c>
      <c r="J192" s="2" cm="1">
        <f t="array" ref="J192">+_xlfn.IFS(H192=115,AVERAGE(1.49,1.5,1.05,1.7),H192=150,AVERAGE(1.49,1.5,1.05,1.7),H192=200,AVERAGE(1.15,1.15,0.9,1.3),H192=240,AVERAGE(1.15,1.15,0.9,1.3),H192=90,AVERAGE(1.15,1.15,0.9,1.3))</f>
        <v>1.4350000000000001</v>
      </c>
      <c r="K192" s="1"/>
      <c r="L192" s="2"/>
      <c r="M192" s="20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</row>
    <row r="193" spans="1:138" x14ac:dyDescent="0.3">
      <c r="A193" s="2"/>
      <c r="B193" s="2"/>
      <c r="C193" s="2"/>
      <c r="D193" s="2"/>
      <c r="E193" s="2"/>
      <c r="F193" s="2"/>
      <c r="G193" s="2"/>
      <c r="H193" s="2">
        <v>115</v>
      </c>
      <c r="I193" s="2" cm="1">
        <f t="array" ref="I193">_xlfn.IFS(H193=115,2,H193=150,2,H193=200,1.5,H193=240,1.5,H193=90,2.2)</f>
        <v>2</v>
      </c>
      <c r="J193" s="2" cm="1">
        <f t="array" ref="J193">+_xlfn.IFS(H193=115,AVERAGE(1.49,1.5,1.05,1.7),H193=150,AVERAGE(1.49,1.5,1.05,1.7),H193=200,AVERAGE(1.15,1.15,0.9,1.3),H193=240,AVERAGE(1.15,1.15,0.9,1.3),H193=90,AVERAGE(1.15,1.15,0.9,1.3))</f>
        <v>1.4350000000000001</v>
      </c>
      <c r="K193" s="1"/>
      <c r="L193" s="2"/>
      <c r="M193" s="20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</row>
    <row r="194" spans="1:138" x14ac:dyDescent="0.3">
      <c r="A194" s="2"/>
      <c r="B194" s="2"/>
      <c r="C194" s="2"/>
      <c r="D194" s="2"/>
      <c r="E194" s="2"/>
      <c r="F194" s="2"/>
      <c r="G194" s="2"/>
      <c r="H194" s="2">
        <v>115</v>
      </c>
      <c r="I194" s="2" cm="1">
        <f t="array" ref="I194">_xlfn.IFS(H194=115,2,H194=150,2,H194=200,1.5,H194=240,1.5,H194=90,2.2)</f>
        <v>2</v>
      </c>
      <c r="J194" s="2" cm="1">
        <f t="array" ref="J194">+_xlfn.IFS(H194=115,AVERAGE(1.49,1.5,1.05,1.7),H194=150,AVERAGE(1.49,1.5,1.05,1.7),H194=200,AVERAGE(1.15,1.15,0.9,1.3),H194=240,AVERAGE(1.15,1.15,0.9,1.3),H194=90,AVERAGE(1.15,1.15,0.9,1.3))</f>
        <v>1.4350000000000001</v>
      </c>
      <c r="K194" s="1"/>
      <c r="L194" s="2"/>
      <c r="M194" s="20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</row>
    <row r="195" spans="1:138" x14ac:dyDescent="0.3">
      <c r="A195" s="2"/>
      <c r="B195" s="2"/>
      <c r="C195" s="2"/>
      <c r="D195" s="2"/>
      <c r="E195" s="2"/>
      <c r="F195" s="2"/>
      <c r="G195" s="2"/>
      <c r="H195" s="2">
        <v>115</v>
      </c>
      <c r="I195" s="2" cm="1">
        <f t="array" ref="I195">_xlfn.IFS(H195=115,2,H195=150,2,H195=200,1.5,H195=240,1.5,H195=90,2.2)</f>
        <v>2</v>
      </c>
      <c r="J195" s="2" cm="1">
        <f t="array" ref="J195">+_xlfn.IFS(H195=115,AVERAGE(1.49,1.5,1.05,1.7),H195=150,AVERAGE(1.49,1.5,1.05,1.7),H195=200,AVERAGE(1.15,1.15,0.9,1.3),H195=240,AVERAGE(1.15,1.15,0.9,1.3),H195=90,AVERAGE(1.15,1.15,0.9,1.3))</f>
        <v>1.4350000000000001</v>
      </c>
      <c r="K195" s="1"/>
      <c r="L195" s="2"/>
      <c r="M195" s="20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</row>
    <row r="196" spans="1:138" x14ac:dyDescent="0.3">
      <c r="A196" s="2"/>
      <c r="B196" s="2"/>
      <c r="C196" s="2"/>
      <c r="D196" s="2"/>
      <c r="E196" s="2"/>
      <c r="F196" s="2"/>
      <c r="G196" s="2"/>
      <c r="H196" s="2">
        <v>115</v>
      </c>
      <c r="I196" s="2" cm="1">
        <f t="array" ref="I196">_xlfn.IFS(H196=115,2,H196=150,2,H196=200,1.5,H196=240,1.5,H196=90,2.2)</f>
        <v>2</v>
      </c>
      <c r="J196" s="2" cm="1">
        <f t="array" ref="J196">+_xlfn.IFS(H196=115,AVERAGE(1.49,1.5,1.05,1.7),H196=150,AVERAGE(1.49,1.5,1.05,1.7),H196=200,AVERAGE(1.15,1.15,0.9,1.3),H196=240,AVERAGE(1.15,1.15,0.9,1.3),H196=90,AVERAGE(1.15,1.15,0.9,1.3))</f>
        <v>1.4350000000000001</v>
      </c>
      <c r="K196" s="1"/>
      <c r="L196" s="2"/>
      <c r="M196" s="20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</row>
    <row r="197" spans="1:138" x14ac:dyDescent="0.3">
      <c r="A197" s="2"/>
      <c r="B197" s="2"/>
      <c r="C197" s="2"/>
      <c r="D197" s="2"/>
      <c r="E197" s="2"/>
      <c r="F197" s="2"/>
      <c r="G197" s="2"/>
      <c r="H197" s="2">
        <v>115</v>
      </c>
      <c r="I197" s="2" cm="1">
        <f t="array" ref="I197">_xlfn.IFS(H197=115,2,H197=150,2,H197=200,1.5,H197=240,1.5,H197=90,2.2)</f>
        <v>2</v>
      </c>
      <c r="J197" s="2" cm="1">
        <f t="array" ref="J197">+_xlfn.IFS(H197=115,AVERAGE(1.49,1.5,1.05,1.7),H197=150,AVERAGE(1.49,1.5,1.05,1.7),H197=200,AVERAGE(1.15,1.15,0.9,1.3),H197=240,AVERAGE(1.15,1.15,0.9,1.3),H197=90,AVERAGE(1.15,1.15,0.9,1.3))</f>
        <v>1.4350000000000001</v>
      </c>
      <c r="K197" s="1"/>
      <c r="L197" s="2"/>
      <c r="M197" s="20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</row>
    <row r="198" spans="1:138" x14ac:dyDescent="0.3">
      <c r="A198" s="2"/>
      <c r="B198" s="2"/>
      <c r="C198" s="2"/>
      <c r="D198" s="2"/>
      <c r="E198" s="2"/>
      <c r="F198" s="2"/>
      <c r="G198" s="2"/>
      <c r="H198" s="2">
        <v>115</v>
      </c>
      <c r="I198" s="2" cm="1">
        <f t="array" ref="I198">_xlfn.IFS(H198=115,2,H198=150,2,H198=200,1.5,H198=240,1.5,H198=90,2.2)</f>
        <v>2</v>
      </c>
      <c r="J198" s="2" cm="1">
        <f t="array" ref="J198">+_xlfn.IFS(H198=115,AVERAGE(1.49,1.5,1.05,1.7),H198=150,AVERAGE(1.49,1.5,1.05,1.7),H198=200,AVERAGE(1.15,1.15,0.9,1.3),H198=240,AVERAGE(1.15,1.15,0.9,1.3),H198=90,AVERAGE(1.15,1.15,0.9,1.3))</f>
        <v>1.4350000000000001</v>
      </c>
      <c r="K198" s="1"/>
      <c r="L198" s="2"/>
      <c r="M198" s="20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</row>
    <row r="199" spans="1:138" x14ac:dyDescent="0.3">
      <c r="A199" s="2"/>
      <c r="B199" s="2"/>
      <c r="C199" s="2"/>
      <c r="D199" s="2"/>
      <c r="E199" s="2"/>
      <c r="F199" s="2"/>
      <c r="G199" s="2"/>
      <c r="H199" s="2">
        <v>115</v>
      </c>
      <c r="I199" s="2" cm="1">
        <f t="array" ref="I199">_xlfn.IFS(H199=115,2,H199=150,2,H199=200,1.5,H199=240,1.5,H199=90,2.2)</f>
        <v>2</v>
      </c>
      <c r="J199" s="2" cm="1">
        <f t="array" ref="J199">+_xlfn.IFS(H199=115,AVERAGE(1.49,1.5,1.05,1.7),H199=150,AVERAGE(1.49,1.5,1.05,1.7),H199=200,AVERAGE(1.15,1.15,0.9,1.3),H199=240,AVERAGE(1.15,1.15,0.9,1.3),H199=90,AVERAGE(1.15,1.15,0.9,1.3))</f>
        <v>1.4350000000000001</v>
      </c>
      <c r="K199" s="1"/>
      <c r="L199" s="2"/>
      <c r="M199" s="20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</row>
    <row r="200" spans="1:138" x14ac:dyDescent="0.3">
      <c r="A200" s="2"/>
      <c r="B200" s="2"/>
      <c r="C200" s="2"/>
      <c r="D200" s="2"/>
      <c r="E200" s="2"/>
      <c r="F200" s="2"/>
      <c r="G200" s="2"/>
      <c r="H200" s="2">
        <v>115</v>
      </c>
      <c r="I200" s="2" cm="1">
        <f t="array" ref="I200">_xlfn.IFS(H200=115,2,H200=150,2,H200=200,1.5,H200=240,1.5,H200=90,2.2)</f>
        <v>2</v>
      </c>
      <c r="J200" s="2" cm="1">
        <f t="array" ref="J200">+_xlfn.IFS(H200=115,AVERAGE(1.49,1.5,1.05,1.7),H200=150,AVERAGE(1.49,1.5,1.05,1.7),H200=200,AVERAGE(1.15,1.15,0.9,1.3),H200=240,AVERAGE(1.15,1.15,0.9,1.3),H200=90,AVERAGE(1.15,1.15,0.9,1.3))</f>
        <v>1.4350000000000001</v>
      </c>
      <c r="K200" s="1"/>
      <c r="L200" s="2"/>
      <c r="M200" s="20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</row>
    <row r="201" spans="1:138" x14ac:dyDescent="0.3">
      <c r="A201" s="2"/>
      <c r="B201" s="2"/>
      <c r="C201" s="2"/>
      <c r="D201" s="2"/>
      <c r="E201" s="2"/>
      <c r="F201" s="2"/>
      <c r="G201" s="2"/>
      <c r="H201" s="2">
        <v>115</v>
      </c>
      <c r="I201" s="2" cm="1">
        <f t="array" ref="I201">_xlfn.IFS(H201=115,2,H201=150,2,H201=200,1.5,H201=240,1.5,H201=90,2.2)</f>
        <v>2</v>
      </c>
      <c r="J201" s="2" cm="1">
        <f t="array" ref="J201">+_xlfn.IFS(H201=115,AVERAGE(1.49,1.5,1.05,1.7),H201=150,AVERAGE(1.49,1.5,1.05,1.7),H201=200,AVERAGE(1.15,1.15,0.9,1.3),H201=240,AVERAGE(1.15,1.15,0.9,1.3),H201=90,AVERAGE(1.15,1.15,0.9,1.3))</f>
        <v>1.4350000000000001</v>
      </c>
      <c r="K201" s="1"/>
      <c r="L201" s="2"/>
      <c r="M201" s="20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</row>
    <row r="202" spans="1:138" x14ac:dyDescent="0.3">
      <c r="A202" s="2"/>
      <c r="B202" s="2"/>
      <c r="C202" s="2"/>
      <c r="D202" s="2"/>
      <c r="E202" s="2"/>
      <c r="F202" s="2"/>
      <c r="G202" s="2"/>
      <c r="H202" s="2">
        <v>115</v>
      </c>
      <c r="I202" s="2" cm="1">
        <f t="array" ref="I202">_xlfn.IFS(H202=115,2,H202=150,2,H202=200,1.5,H202=240,1.5,H202=90,2.2)</f>
        <v>2</v>
      </c>
      <c r="J202" s="2" cm="1">
        <f t="array" ref="J202">+_xlfn.IFS(H202=115,AVERAGE(1.49,1.5,1.05,1.7),H202=150,AVERAGE(1.49,1.5,1.05,1.7),H202=200,AVERAGE(1.15,1.15,0.9,1.3),H202=240,AVERAGE(1.15,1.15,0.9,1.3),H202=90,AVERAGE(1.15,1.15,0.9,1.3))</f>
        <v>1.4350000000000001</v>
      </c>
      <c r="K202" s="1"/>
      <c r="L202" s="2"/>
      <c r="M202" s="20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</row>
    <row r="203" spans="1:138" x14ac:dyDescent="0.3">
      <c r="A203" s="2"/>
      <c r="B203" s="2"/>
      <c r="C203" s="2"/>
      <c r="D203" s="2"/>
      <c r="E203" s="2"/>
      <c r="F203" s="2"/>
      <c r="G203" s="2"/>
      <c r="H203" s="2">
        <v>115</v>
      </c>
      <c r="I203" s="2" cm="1">
        <f t="array" ref="I203">_xlfn.IFS(H203=115,2,H203=150,2,H203=200,1.5,H203=240,1.5,H203=90,2.2)</f>
        <v>2</v>
      </c>
      <c r="J203" s="2" cm="1">
        <f t="array" ref="J203">+_xlfn.IFS(H203=115,AVERAGE(1.49,1.5,1.05,1.7),H203=150,AVERAGE(1.49,1.5,1.05,1.7),H203=200,AVERAGE(1.15,1.15,0.9,1.3),H203=240,AVERAGE(1.15,1.15,0.9,1.3),H203=90,AVERAGE(1.15,1.15,0.9,1.3))</f>
        <v>1.4350000000000001</v>
      </c>
      <c r="K203" s="1"/>
      <c r="L203" s="2"/>
      <c r="M203" s="20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</row>
    <row r="204" spans="1:138" x14ac:dyDescent="0.3">
      <c r="A204" s="2"/>
      <c r="B204" s="2"/>
      <c r="C204" s="2"/>
      <c r="D204" s="2"/>
      <c r="E204" s="2"/>
      <c r="F204" s="2"/>
      <c r="G204" s="2"/>
      <c r="H204" s="2">
        <v>115</v>
      </c>
      <c r="I204" s="2" cm="1">
        <f t="array" ref="I204">_xlfn.IFS(H204=115,2,H204=150,2,H204=200,1.5,H204=240,1.5,H204=90,2.2)</f>
        <v>2</v>
      </c>
      <c r="J204" s="2" cm="1">
        <f t="array" ref="J204">+_xlfn.IFS(H204=115,AVERAGE(1.49,1.5,1.05,1.7),H204=150,AVERAGE(1.49,1.5,1.05,1.7),H204=200,AVERAGE(1.15,1.15,0.9,1.3),H204=240,AVERAGE(1.15,1.15,0.9,1.3),H204=90,AVERAGE(1.15,1.15,0.9,1.3))</f>
        <v>1.4350000000000001</v>
      </c>
      <c r="K204" s="1"/>
      <c r="L204" s="2"/>
      <c r="M204" s="20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</row>
    <row r="205" spans="1:138" x14ac:dyDescent="0.3">
      <c r="A205" s="2"/>
      <c r="B205" s="2"/>
      <c r="C205" s="2"/>
      <c r="D205" s="2"/>
      <c r="E205" s="2"/>
      <c r="F205" s="2"/>
      <c r="G205" s="2"/>
      <c r="H205" s="2">
        <v>115</v>
      </c>
      <c r="I205" s="2" cm="1">
        <f t="array" ref="I205">_xlfn.IFS(H205=115,2,H205=150,2,H205=200,1.5,H205=240,1.5,H205=90,2.2)</f>
        <v>2</v>
      </c>
      <c r="J205" s="2" cm="1">
        <f t="array" ref="J205">+_xlfn.IFS(H205=115,AVERAGE(1.49,1.5,1.05,1.7),H205=150,AVERAGE(1.49,1.5,1.05,1.7),H205=200,AVERAGE(1.15,1.15,0.9,1.3),H205=240,AVERAGE(1.15,1.15,0.9,1.3),H205=90,AVERAGE(1.15,1.15,0.9,1.3))</f>
        <v>1.4350000000000001</v>
      </c>
      <c r="K205" s="1"/>
      <c r="L205" s="2"/>
      <c r="M205" s="20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</row>
    <row r="206" spans="1:138" x14ac:dyDescent="0.3">
      <c r="A206" s="2"/>
      <c r="B206" s="2"/>
      <c r="C206" s="2"/>
      <c r="D206" s="2"/>
      <c r="E206" s="2"/>
      <c r="F206" s="2"/>
      <c r="G206" s="2"/>
      <c r="H206" s="2">
        <v>115</v>
      </c>
      <c r="I206" s="2" cm="1">
        <f t="array" ref="I206">_xlfn.IFS(H206=115,2,H206=150,2,H206=200,1.5,H206=240,1.5,H206=90,2.2)</f>
        <v>2</v>
      </c>
      <c r="J206" s="2" cm="1">
        <f t="array" ref="J206">+_xlfn.IFS(H206=115,AVERAGE(1.49,1.5,1.05,1.7),H206=150,AVERAGE(1.49,1.5,1.05,1.7),H206=200,AVERAGE(1.15,1.15,0.9,1.3),H206=240,AVERAGE(1.15,1.15,0.9,1.3),H206=90,AVERAGE(1.15,1.15,0.9,1.3))</f>
        <v>1.4350000000000001</v>
      </c>
      <c r="K206" s="1"/>
      <c r="L206" s="2"/>
      <c r="M206" s="20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</row>
    <row r="207" spans="1:138" x14ac:dyDescent="0.3">
      <c r="A207" s="2"/>
      <c r="B207" s="2"/>
      <c r="C207" s="2"/>
      <c r="D207" s="2"/>
      <c r="E207" s="2"/>
      <c r="F207" s="2"/>
      <c r="G207" s="2"/>
      <c r="H207" s="2">
        <v>115</v>
      </c>
      <c r="I207" s="2" cm="1">
        <f t="array" ref="I207">_xlfn.IFS(H207=115,2,H207=150,2,H207=200,1.5,H207=240,1.5,H207=90,2.2)</f>
        <v>2</v>
      </c>
      <c r="J207" s="2" cm="1">
        <f t="array" ref="J207">+_xlfn.IFS(H207=115,AVERAGE(1.49,1.5,1.05,1.7),H207=150,AVERAGE(1.49,1.5,1.05,1.7),H207=200,AVERAGE(1.15,1.15,0.9,1.3),H207=240,AVERAGE(1.15,1.15,0.9,1.3),H207=90,AVERAGE(1.15,1.15,0.9,1.3))</f>
        <v>1.4350000000000001</v>
      </c>
      <c r="K207" s="1"/>
      <c r="L207" s="2"/>
      <c r="M207" s="20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</row>
    <row r="208" spans="1:138" x14ac:dyDescent="0.3">
      <c r="A208" s="2"/>
      <c r="B208" s="2"/>
      <c r="C208" s="2"/>
      <c r="D208" s="2"/>
      <c r="E208" s="2"/>
      <c r="F208" s="2"/>
      <c r="G208" s="2"/>
      <c r="H208" s="2">
        <v>115</v>
      </c>
      <c r="I208" s="2" cm="1">
        <f t="array" ref="I208">_xlfn.IFS(H208=115,2,H208=150,2,H208=200,1.5,H208=240,1.5,H208=90,2.2)</f>
        <v>2</v>
      </c>
      <c r="J208" s="2" cm="1">
        <f t="array" ref="J208">+_xlfn.IFS(H208=115,AVERAGE(1.49,1.5,1.05,1.7),H208=150,AVERAGE(1.49,1.5,1.05,1.7),H208=200,AVERAGE(1.15,1.15,0.9,1.3),H208=240,AVERAGE(1.15,1.15,0.9,1.3),H208=90,AVERAGE(1.15,1.15,0.9,1.3))</f>
        <v>1.4350000000000001</v>
      </c>
      <c r="K208" s="1"/>
      <c r="L208" s="2"/>
      <c r="M208" s="20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</row>
    <row r="209" spans="1:138" x14ac:dyDescent="0.3">
      <c r="A209" s="2"/>
      <c r="B209" s="2"/>
      <c r="C209" s="2"/>
      <c r="D209" s="2"/>
      <c r="E209" s="2"/>
      <c r="F209" s="2"/>
      <c r="G209" s="2"/>
      <c r="H209" s="2">
        <v>115</v>
      </c>
      <c r="I209" s="2" cm="1">
        <f t="array" ref="I209">_xlfn.IFS(H209=115,2,H209=150,2,H209=200,1.5,H209=240,1.5,H209=90,2.2)</f>
        <v>2</v>
      </c>
      <c r="J209" s="2" cm="1">
        <f t="array" ref="J209">+_xlfn.IFS(H209=115,AVERAGE(1.49,1.5,1.05,1.7),H209=150,AVERAGE(1.49,1.5,1.05,1.7),H209=200,AVERAGE(1.15,1.15,0.9,1.3),H209=240,AVERAGE(1.15,1.15,0.9,1.3),H209=90,AVERAGE(1.15,1.15,0.9,1.3))</f>
        <v>1.4350000000000001</v>
      </c>
      <c r="K209" s="1"/>
      <c r="L209" s="2"/>
      <c r="M209" s="20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</row>
    <row r="210" spans="1:138" x14ac:dyDescent="0.3">
      <c r="A210" s="2"/>
      <c r="B210" s="2"/>
      <c r="C210" s="2"/>
      <c r="D210" s="2"/>
      <c r="E210" s="2"/>
      <c r="F210" s="2"/>
      <c r="G210" s="2"/>
      <c r="H210" s="2">
        <v>115</v>
      </c>
      <c r="I210" s="2" cm="1">
        <f t="array" ref="I210">_xlfn.IFS(H210=115,2,H210=150,2,H210=200,1.5,H210=240,1.5,H210=90,2.2)</f>
        <v>2</v>
      </c>
      <c r="J210" s="2" cm="1">
        <f t="array" ref="J210">+_xlfn.IFS(H210=115,AVERAGE(1.49,1.5,1.05,1.7),H210=150,AVERAGE(1.49,1.5,1.05,1.7),H210=200,AVERAGE(1.15,1.15,0.9,1.3),H210=240,AVERAGE(1.15,1.15,0.9,1.3),H210=90,AVERAGE(1.15,1.15,0.9,1.3))</f>
        <v>1.4350000000000001</v>
      </c>
      <c r="K210" s="1"/>
      <c r="L210" s="2"/>
      <c r="M210" s="20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</row>
    <row r="211" spans="1:138" x14ac:dyDescent="0.3">
      <c r="A211" s="2"/>
      <c r="B211" s="2"/>
      <c r="C211" s="2"/>
      <c r="D211" s="2"/>
      <c r="E211" s="2"/>
      <c r="F211" s="2"/>
      <c r="G211" s="2"/>
      <c r="H211" s="2">
        <v>115</v>
      </c>
      <c r="I211" s="2" cm="1">
        <f t="array" ref="I211">_xlfn.IFS(H211=115,2,H211=150,2,H211=200,1.5,H211=240,1.5,H211=90,2.2)</f>
        <v>2</v>
      </c>
      <c r="J211" s="2" cm="1">
        <f t="array" ref="J211">+_xlfn.IFS(H211=115,AVERAGE(1.49,1.5,1.05,1.7),H211=150,AVERAGE(1.49,1.5,1.05,1.7),H211=200,AVERAGE(1.15,1.15,0.9,1.3),H211=240,AVERAGE(1.15,1.15,0.9,1.3),H211=90,AVERAGE(1.15,1.15,0.9,1.3))</f>
        <v>1.4350000000000001</v>
      </c>
      <c r="K211" s="1"/>
      <c r="L211" s="2"/>
      <c r="M211" s="20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</row>
    <row r="212" spans="1:138" x14ac:dyDescent="0.3">
      <c r="A212" s="2"/>
      <c r="B212" s="2"/>
      <c r="C212" s="2"/>
      <c r="D212" s="2"/>
      <c r="E212" s="2"/>
      <c r="F212" s="2"/>
      <c r="G212" s="2"/>
      <c r="H212" s="2">
        <v>115</v>
      </c>
      <c r="I212" s="2" cm="1">
        <f t="array" ref="I212">_xlfn.IFS(H212=115,2,H212=150,2,H212=200,1.5,H212=240,1.5,H212=90,2.2)</f>
        <v>2</v>
      </c>
      <c r="J212" s="2" cm="1">
        <f t="array" ref="J212">+_xlfn.IFS(H212=115,AVERAGE(1.49,1.5,1.05,1.7),H212=150,AVERAGE(1.49,1.5,1.05,1.7),H212=200,AVERAGE(1.15,1.15,0.9,1.3),H212=240,AVERAGE(1.15,1.15,0.9,1.3),H212=90,AVERAGE(1.15,1.15,0.9,1.3))</f>
        <v>1.4350000000000001</v>
      </c>
      <c r="K212" s="1"/>
      <c r="L212" s="2"/>
      <c r="M212" s="20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</row>
    <row r="213" spans="1:138" x14ac:dyDescent="0.3">
      <c r="A213" s="2"/>
      <c r="B213" s="2"/>
      <c r="C213" s="2"/>
      <c r="D213" s="2"/>
      <c r="E213" s="2"/>
      <c r="F213" s="2"/>
      <c r="G213" s="2"/>
      <c r="H213" s="2">
        <v>115</v>
      </c>
      <c r="I213" s="2" cm="1">
        <f t="array" ref="I213">_xlfn.IFS(H213=115,2,H213=150,2,H213=200,1.5,H213=240,1.5,H213=90,2.2)</f>
        <v>2</v>
      </c>
      <c r="J213" s="2" cm="1">
        <f t="array" ref="J213">+_xlfn.IFS(H213=115,AVERAGE(1.49,1.5,1.05,1.7),H213=150,AVERAGE(1.49,1.5,1.05,1.7),H213=200,AVERAGE(1.15,1.15,0.9,1.3),H213=240,AVERAGE(1.15,1.15,0.9,1.3),H213=90,AVERAGE(1.15,1.15,0.9,1.3))</f>
        <v>1.4350000000000001</v>
      </c>
      <c r="K213" s="1"/>
      <c r="L213" s="2"/>
      <c r="M213" s="20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</row>
    <row r="214" spans="1:138" x14ac:dyDescent="0.3">
      <c r="A214" s="2"/>
      <c r="B214" s="2"/>
      <c r="C214" s="2"/>
      <c r="D214" s="2"/>
      <c r="E214" s="2"/>
      <c r="F214" s="2"/>
      <c r="G214" s="2"/>
      <c r="H214" s="2">
        <v>115</v>
      </c>
      <c r="I214" s="2" cm="1">
        <f t="array" ref="I214">_xlfn.IFS(H214=115,2,H214=150,2,H214=200,1.5,H214=240,1.5,H214=90,2.2)</f>
        <v>2</v>
      </c>
      <c r="J214" s="2" cm="1">
        <f t="array" ref="J214">+_xlfn.IFS(H214=115,AVERAGE(1.49,1.5,1.05,1.7),H214=150,AVERAGE(1.49,1.5,1.05,1.7),H214=200,AVERAGE(1.15,1.15,0.9,1.3),H214=240,AVERAGE(1.15,1.15,0.9,1.3),H214=90,AVERAGE(1.15,1.15,0.9,1.3))</f>
        <v>1.4350000000000001</v>
      </c>
      <c r="K214" s="1"/>
      <c r="L214" s="2"/>
      <c r="M214" s="20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</row>
    <row r="215" spans="1:138" x14ac:dyDescent="0.3">
      <c r="A215" s="2"/>
      <c r="B215" s="2"/>
      <c r="C215" s="2"/>
      <c r="D215" s="2"/>
      <c r="E215" s="2"/>
      <c r="F215" s="2"/>
      <c r="G215" s="2"/>
      <c r="H215" s="2">
        <v>115</v>
      </c>
      <c r="I215" s="2" cm="1">
        <f t="array" ref="I215">_xlfn.IFS(H215=115,2,H215=150,2,H215=200,1.5,H215=240,1.5,H215=90,2.2)</f>
        <v>2</v>
      </c>
      <c r="J215" s="2" cm="1">
        <f t="array" ref="J215">+_xlfn.IFS(H215=115,AVERAGE(1.49,1.5,1.05,1.7),H215=150,AVERAGE(1.49,1.5,1.05,1.7),H215=200,AVERAGE(1.15,1.15,0.9,1.3),H215=240,AVERAGE(1.15,1.15,0.9,1.3),H215=90,AVERAGE(1.15,1.15,0.9,1.3))</f>
        <v>1.4350000000000001</v>
      </c>
      <c r="K215" s="1"/>
      <c r="L215" s="2"/>
      <c r="M215" s="20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</row>
    <row r="216" spans="1:138" x14ac:dyDescent="0.3">
      <c r="A216" s="2"/>
      <c r="B216" s="2"/>
      <c r="C216" s="2"/>
      <c r="D216" s="2"/>
      <c r="E216" s="2"/>
      <c r="F216" s="2"/>
      <c r="G216" s="2"/>
      <c r="H216" s="2">
        <v>115</v>
      </c>
      <c r="I216" s="2" cm="1">
        <f t="array" ref="I216">_xlfn.IFS(H216=115,2,H216=150,2,H216=200,1.5,H216=240,1.5,H216=90,2.2)</f>
        <v>2</v>
      </c>
      <c r="J216" s="2" cm="1">
        <f t="array" ref="J216">+_xlfn.IFS(H216=115,AVERAGE(1.49,1.5,1.05,1.7),H216=150,AVERAGE(1.49,1.5,1.05,1.7),H216=200,AVERAGE(1.15,1.15,0.9,1.3),H216=240,AVERAGE(1.15,1.15,0.9,1.3),H216=90,AVERAGE(1.15,1.15,0.9,1.3))</f>
        <v>1.4350000000000001</v>
      </c>
      <c r="K216" s="1"/>
      <c r="L216" s="2"/>
      <c r="M216" s="20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</row>
    <row r="217" spans="1:138" x14ac:dyDescent="0.3">
      <c r="A217" s="2"/>
      <c r="B217" s="2"/>
      <c r="C217" s="2"/>
      <c r="D217" s="2"/>
      <c r="E217" s="2"/>
      <c r="F217" s="2"/>
      <c r="G217" s="2"/>
      <c r="H217" s="2">
        <v>115</v>
      </c>
      <c r="I217" s="2" cm="1">
        <f t="array" ref="I217">_xlfn.IFS(H217=115,2,H217=150,2,H217=200,1.5,H217=240,1.5,H217=90,2.2)</f>
        <v>2</v>
      </c>
      <c r="J217" s="2" cm="1">
        <f t="array" ref="J217">+_xlfn.IFS(H217=115,AVERAGE(1.49,1.5,1.05,1.7),H217=150,AVERAGE(1.49,1.5,1.05,1.7),H217=200,AVERAGE(1.15,1.15,0.9,1.3),H217=240,AVERAGE(1.15,1.15,0.9,1.3),H217=90,AVERAGE(1.15,1.15,0.9,1.3))</f>
        <v>1.4350000000000001</v>
      </c>
      <c r="K217" s="1"/>
      <c r="L217" s="2"/>
      <c r="M217" s="20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</row>
    <row r="218" spans="1:138" x14ac:dyDescent="0.3">
      <c r="A218" s="2"/>
      <c r="B218" s="2"/>
      <c r="C218" s="2"/>
      <c r="D218" s="2"/>
      <c r="E218" s="2"/>
      <c r="F218" s="2"/>
      <c r="G218" s="2"/>
      <c r="H218" s="2">
        <v>115</v>
      </c>
      <c r="I218" s="2" cm="1">
        <f t="array" ref="I218">_xlfn.IFS(H218=115,2,H218=150,2,H218=200,1.5,H218=240,1.5,H218=90,2.2)</f>
        <v>2</v>
      </c>
      <c r="J218" s="2" cm="1">
        <f t="array" ref="J218">+_xlfn.IFS(H218=115,AVERAGE(1.49,1.5,1.05,1.7),H218=150,AVERAGE(1.49,1.5,1.05,1.7),H218=200,AVERAGE(1.15,1.15,0.9,1.3),H218=240,AVERAGE(1.15,1.15,0.9,1.3),H218=90,AVERAGE(1.15,1.15,0.9,1.3))</f>
        <v>1.4350000000000001</v>
      </c>
      <c r="K218" s="1"/>
      <c r="L218" s="2"/>
      <c r="M218" s="20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</row>
    <row r="219" spans="1:138" x14ac:dyDescent="0.3">
      <c r="A219" s="2"/>
      <c r="B219" s="2"/>
      <c r="C219" s="2"/>
      <c r="D219" s="2"/>
      <c r="E219" s="2"/>
      <c r="F219" s="2"/>
      <c r="G219" s="2"/>
      <c r="H219" s="2">
        <v>115</v>
      </c>
      <c r="I219" s="2" cm="1">
        <f t="array" ref="I219">_xlfn.IFS(H219=115,2,H219=150,2,H219=200,1.5,H219=240,1.5,H219=90,2.2)</f>
        <v>2</v>
      </c>
      <c r="J219" s="2" cm="1">
        <f t="array" ref="J219">+_xlfn.IFS(H219=115,AVERAGE(1.49,1.5,1.05,1.7),H219=150,AVERAGE(1.49,1.5,1.05,1.7),H219=200,AVERAGE(1.15,1.15,0.9,1.3),H219=240,AVERAGE(1.15,1.15,0.9,1.3),H219=90,AVERAGE(1.15,1.15,0.9,1.3))</f>
        <v>1.4350000000000001</v>
      </c>
      <c r="K219" s="1"/>
      <c r="L219" s="2"/>
      <c r="M219" s="20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</row>
    <row r="220" spans="1:138" x14ac:dyDescent="0.3">
      <c r="A220" s="2"/>
      <c r="B220" s="2"/>
      <c r="C220" s="2"/>
      <c r="D220" s="2"/>
      <c r="E220" s="2"/>
      <c r="F220" s="2"/>
      <c r="G220" s="2"/>
      <c r="H220" s="2">
        <v>115</v>
      </c>
      <c r="I220" s="2" cm="1">
        <f t="array" ref="I220">_xlfn.IFS(H220=115,2,H220=150,2,H220=200,1.5,H220=240,1.5,H220=90,2.2)</f>
        <v>2</v>
      </c>
      <c r="J220" s="2" cm="1">
        <f t="array" ref="J220">+_xlfn.IFS(H220=115,AVERAGE(1.49,1.5,1.05,1.7),H220=150,AVERAGE(1.49,1.5,1.05,1.7),H220=200,AVERAGE(1.15,1.15,0.9,1.3),H220=240,AVERAGE(1.15,1.15,0.9,1.3),H220=90,AVERAGE(1.15,1.15,0.9,1.3))</f>
        <v>1.4350000000000001</v>
      </c>
      <c r="K220" s="1"/>
      <c r="L220" s="2"/>
      <c r="M220" s="20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</row>
    <row r="221" spans="1:138" x14ac:dyDescent="0.3">
      <c r="A221" s="2"/>
      <c r="B221" s="2"/>
      <c r="C221" s="2"/>
      <c r="D221" s="2"/>
      <c r="E221" s="2"/>
      <c r="F221" s="2"/>
      <c r="G221" s="2"/>
      <c r="H221" s="2">
        <v>115</v>
      </c>
      <c r="I221" s="2" cm="1">
        <f t="array" ref="I221">_xlfn.IFS(H221=115,2,H221=150,2,H221=200,1.5,H221=240,1.5,H221=90,2.2)</f>
        <v>2</v>
      </c>
      <c r="J221" s="2" cm="1">
        <f t="array" ref="J221">+_xlfn.IFS(H221=115,AVERAGE(1.49,1.5,1.05,1.7),H221=150,AVERAGE(1.49,1.5,1.05,1.7),H221=200,AVERAGE(1.15,1.15,0.9,1.3),H221=240,AVERAGE(1.15,1.15,0.9,1.3),H221=90,AVERAGE(1.15,1.15,0.9,1.3))</f>
        <v>1.4350000000000001</v>
      </c>
      <c r="K221" s="1"/>
      <c r="L221" s="2"/>
      <c r="M221" s="20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</row>
    <row r="222" spans="1:138" x14ac:dyDescent="0.3">
      <c r="A222" s="2"/>
      <c r="B222" s="2"/>
      <c r="C222" s="2"/>
      <c r="D222" s="2"/>
      <c r="E222" s="2"/>
      <c r="F222" s="2"/>
      <c r="G222" s="2"/>
      <c r="H222" s="2">
        <v>115</v>
      </c>
      <c r="I222" s="2" cm="1">
        <f t="array" ref="I222">_xlfn.IFS(H222=115,2,H222=150,2,H222=200,1.5,H222=240,1.5,H222=90,2.2)</f>
        <v>2</v>
      </c>
      <c r="J222" s="2" cm="1">
        <f t="array" ref="J222">+_xlfn.IFS(H222=115,AVERAGE(1.49,1.5,1.05,1.7),H222=150,AVERAGE(1.49,1.5,1.05,1.7),H222=200,AVERAGE(1.15,1.15,0.9,1.3),H222=240,AVERAGE(1.15,1.15,0.9,1.3),H222=90,AVERAGE(1.15,1.15,0.9,1.3))</f>
        <v>1.4350000000000001</v>
      </c>
      <c r="K222" s="1"/>
      <c r="L222" s="2"/>
      <c r="M222" s="20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</row>
    <row r="223" spans="1:138" x14ac:dyDescent="0.3">
      <c r="A223" s="2"/>
      <c r="B223" s="2"/>
      <c r="C223" s="2"/>
      <c r="D223" s="2"/>
      <c r="E223" s="2"/>
      <c r="F223" s="2"/>
      <c r="G223" s="2"/>
      <c r="H223" s="2">
        <v>115</v>
      </c>
      <c r="I223" s="2" cm="1">
        <f t="array" ref="I223">_xlfn.IFS(H223=115,2,H223=150,2,H223=200,1.5,H223=240,1.5,H223=90,2.2)</f>
        <v>2</v>
      </c>
      <c r="J223" s="2" cm="1">
        <f t="array" ref="J223">+_xlfn.IFS(H223=115,AVERAGE(1.49,1.5,1.05,1.7),H223=150,AVERAGE(1.49,1.5,1.05,1.7),H223=200,AVERAGE(1.15,1.15,0.9,1.3),H223=240,AVERAGE(1.15,1.15,0.9,1.3),H223=90,AVERAGE(1.15,1.15,0.9,1.3))</f>
        <v>1.4350000000000001</v>
      </c>
      <c r="K223" s="1"/>
      <c r="L223" s="2"/>
      <c r="M223" s="20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</row>
    <row r="224" spans="1:138" x14ac:dyDescent="0.3">
      <c r="A224" s="2"/>
      <c r="B224" s="2"/>
      <c r="C224" s="2"/>
      <c r="D224" s="2"/>
      <c r="E224" s="2"/>
      <c r="F224" s="2"/>
      <c r="G224" s="2"/>
      <c r="H224" s="2">
        <v>115</v>
      </c>
      <c r="I224" s="2" cm="1">
        <f t="array" ref="I224">_xlfn.IFS(H224=115,2,H224=150,2,H224=200,1.5,H224=240,1.5,H224=90,2.2)</f>
        <v>2</v>
      </c>
      <c r="J224" s="2" cm="1">
        <f t="array" ref="J224">+_xlfn.IFS(H224=115,AVERAGE(1.49,1.5,1.05,1.7),H224=150,AVERAGE(1.49,1.5,1.05,1.7),H224=200,AVERAGE(1.15,1.15,0.9,1.3),H224=240,AVERAGE(1.15,1.15,0.9,1.3),H224=90,AVERAGE(1.15,1.15,0.9,1.3))</f>
        <v>1.4350000000000001</v>
      </c>
      <c r="K224" s="1"/>
      <c r="L224" s="2"/>
      <c r="M224" s="20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</row>
    <row r="225" spans="1:138" x14ac:dyDescent="0.3">
      <c r="A225" s="2"/>
      <c r="B225" s="2"/>
      <c r="C225" s="2"/>
      <c r="D225" s="2"/>
      <c r="E225" s="2"/>
      <c r="F225" s="2"/>
      <c r="G225" s="2"/>
      <c r="H225" s="2">
        <v>115</v>
      </c>
      <c r="I225" s="2" cm="1">
        <f t="array" ref="I225">_xlfn.IFS(H225=115,2,H225=150,2,H225=200,1.5,H225=240,1.5,H225=90,2.2)</f>
        <v>2</v>
      </c>
      <c r="J225" s="2" cm="1">
        <f t="array" ref="J225">+_xlfn.IFS(H225=115,AVERAGE(1.49,1.5,1.05,1.7),H225=150,AVERAGE(1.49,1.5,1.05,1.7),H225=200,AVERAGE(1.15,1.15,0.9,1.3),H225=240,AVERAGE(1.15,1.15,0.9,1.3),H225=90,AVERAGE(1.15,1.15,0.9,1.3))</f>
        <v>1.4350000000000001</v>
      </c>
      <c r="K225" s="1"/>
      <c r="L225" s="2"/>
      <c r="M225" s="20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</row>
    <row r="226" spans="1:138" x14ac:dyDescent="0.3">
      <c r="A226" s="2"/>
      <c r="B226" s="2"/>
      <c r="C226" s="2"/>
      <c r="D226" s="2"/>
      <c r="E226" s="2"/>
      <c r="F226" s="2"/>
      <c r="G226" s="2"/>
      <c r="H226" s="2">
        <v>115</v>
      </c>
      <c r="I226" s="2" cm="1">
        <f t="array" ref="I226">_xlfn.IFS(H226=115,2,H226=150,2,H226=200,1.5,H226=240,1.5,H226=90,2.2)</f>
        <v>2</v>
      </c>
      <c r="J226" s="2" cm="1">
        <f t="array" ref="J226">+_xlfn.IFS(H226=115,AVERAGE(1.49,1.5,1.05,1.7),H226=150,AVERAGE(1.49,1.5,1.05,1.7),H226=200,AVERAGE(1.15,1.15,0.9,1.3),H226=240,AVERAGE(1.15,1.15,0.9,1.3),H226=90,AVERAGE(1.15,1.15,0.9,1.3))</f>
        <v>1.4350000000000001</v>
      </c>
      <c r="K226" s="1"/>
      <c r="L226" s="2"/>
      <c r="M226" s="20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</row>
    <row r="227" spans="1:138" x14ac:dyDescent="0.3">
      <c r="A227" s="2"/>
      <c r="B227" s="2"/>
      <c r="C227" s="2"/>
      <c r="D227" s="2"/>
      <c r="E227" s="2"/>
      <c r="F227" s="2"/>
      <c r="G227" s="2"/>
      <c r="H227" s="2">
        <v>115</v>
      </c>
      <c r="I227" s="2" cm="1">
        <f t="array" ref="I227">_xlfn.IFS(H227=115,2,H227=150,2,H227=200,1.5,H227=240,1.5,H227=90,2.2)</f>
        <v>2</v>
      </c>
      <c r="J227" s="2" cm="1">
        <f t="array" ref="J227">+_xlfn.IFS(H227=115,AVERAGE(1.49,1.5,1.05,1.7),H227=150,AVERAGE(1.49,1.5,1.05,1.7),H227=200,AVERAGE(1.15,1.15,0.9,1.3),H227=240,AVERAGE(1.15,1.15,0.9,1.3),H227=90,AVERAGE(1.15,1.15,0.9,1.3))</f>
        <v>1.4350000000000001</v>
      </c>
      <c r="K227" s="1"/>
      <c r="L227" s="2"/>
      <c r="M227" s="20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</row>
    <row r="228" spans="1:138" x14ac:dyDescent="0.3">
      <c r="A228" s="2"/>
      <c r="B228" s="2"/>
      <c r="C228" s="2"/>
      <c r="D228" s="2"/>
      <c r="E228" s="2"/>
      <c r="F228" s="2"/>
      <c r="G228" s="2"/>
      <c r="H228" s="2">
        <v>115</v>
      </c>
      <c r="I228" s="2" cm="1">
        <f t="array" ref="I228">_xlfn.IFS(H228=115,2,H228=150,2,H228=200,1.5,H228=240,1.5,H228=90,2.2)</f>
        <v>2</v>
      </c>
      <c r="J228" s="2" cm="1">
        <f t="array" ref="J228">+_xlfn.IFS(H228=115,AVERAGE(1.49,1.5,1.05,1.7),H228=150,AVERAGE(1.49,1.5,1.05,1.7),H228=200,AVERAGE(1.15,1.15,0.9,1.3),H228=240,AVERAGE(1.15,1.15,0.9,1.3),H228=90,AVERAGE(1.15,1.15,0.9,1.3))</f>
        <v>1.4350000000000001</v>
      </c>
      <c r="K228" s="1"/>
      <c r="L228" s="2"/>
      <c r="M228" s="20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</row>
    <row r="229" spans="1:138" x14ac:dyDescent="0.3">
      <c r="A229" s="2"/>
      <c r="B229" s="2"/>
      <c r="C229" s="2"/>
      <c r="D229" s="2"/>
      <c r="E229" s="2"/>
      <c r="F229" s="2"/>
      <c r="G229" s="2"/>
      <c r="H229" s="2">
        <v>115</v>
      </c>
      <c r="I229" s="2" cm="1">
        <f t="array" ref="I229">_xlfn.IFS(H229=115,2,H229=150,2,H229=200,1.5,H229=240,1.5,H229=90,2.2)</f>
        <v>2</v>
      </c>
      <c r="J229" s="2" cm="1">
        <f t="array" ref="J229">+_xlfn.IFS(H229=115,AVERAGE(1.49,1.5,1.05,1.7),H229=150,AVERAGE(1.49,1.5,1.05,1.7),H229=200,AVERAGE(1.15,1.15,0.9,1.3),H229=240,AVERAGE(1.15,1.15,0.9,1.3),H229=90,AVERAGE(1.15,1.15,0.9,1.3))</f>
        <v>1.4350000000000001</v>
      </c>
      <c r="K229" s="1"/>
      <c r="L229" s="2"/>
      <c r="M229" s="20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</row>
    <row r="230" spans="1:138" x14ac:dyDescent="0.3">
      <c r="A230" s="2"/>
      <c r="B230" s="2"/>
      <c r="C230" s="2"/>
      <c r="D230" s="2"/>
      <c r="E230" s="2"/>
      <c r="F230" s="2"/>
      <c r="G230" s="2"/>
      <c r="H230" s="2">
        <v>115</v>
      </c>
      <c r="I230" s="2" cm="1">
        <f t="array" ref="I230">_xlfn.IFS(H230=115,2,H230=150,2,H230=200,1.5,H230=240,1.5,H230=90,2.2)</f>
        <v>2</v>
      </c>
      <c r="J230" s="2" cm="1">
        <f t="array" ref="J230">+_xlfn.IFS(H230=115,AVERAGE(1.49,1.5,1.05,1.7),H230=150,AVERAGE(1.49,1.5,1.05,1.7),H230=200,AVERAGE(1.15,1.15,0.9,1.3),H230=240,AVERAGE(1.15,1.15,0.9,1.3),H230=90,AVERAGE(1.15,1.15,0.9,1.3))</f>
        <v>1.4350000000000001</v>
      </c>
      <c r="K230" s="1"/>
      <c r="L230" s="2"/>
      <c r="M230" s="20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</row>
    <row r="231" spans="1:138" x14ac:dyDescent="0.3">
      <c r="A231" s="2"/>
      <c r="B231" s="2"/>
      <c r="C231" s="2"/>
      <c r="D231" s="2"/>
      <c r="E231" s="2"/>
      <c r="F231" s="2"/>
      <c r="G231" s="2"/>
      <c r="H231" s="2">
        <v>115</v>
      </c>
      <c r="I231" s="2" cm="1">
        <f t="array" ref="I231">_xlfn.IFS(H231=115,2,H231=150,2,H231=200,1.5,H231=240,1.5,H231=90,2.2)</f>
        <v>2</v>
      </c>
      <c r="J231" s="2" cm="1">
        <f t="array" ref="J231">+_xlfn.IFS(H231=115,AVERAGE(1.49,1.5,1.05,1.7),H231=150,AVERAGE(1.49,1.5,1.05,1.7),H231=200,AVERAGE(1.15,1.15,0.9,1.3),H231=240,AVERAGE(1.15,1.15,0.9,1.3),H231=90,AVERAGE(1.15,1.15,0.9,1.3))</f>
        <v>1.4350000000000001</v>
      </c>
      <c r="K231" s="1"/>
      <c r="L231" s="2"/>
      <c r="M231" s="20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</row>
    <row r="232" spans="1:138" x14ac:dyDescent="0.3">
      <c r="A232" s="2"/>
      <c r="B232" s="2"/>
      <c r="C232" s="2"/>
      <c r="D232" s="2"/>
      <c r="E232" s="2"/>
      <c r="F232" s="2"/>
      <c r="G232" s="2"/>
      <c r="H232" s="2">
        <v>115</v>
      </c>
      <c r="I232" s="2" cm="1">
        <f t="array" ref="I232">_xlfn.IFS(H232=115,2,H232=150,2,H232=200,1.5,H232=240,1.5,H232=90,2.2)</f>
        <v>2</v>
      </c>
      <c r="J232" s="2" cm="1">
        <f t="array" ref="J232">+_xlfn.IFS(H232=115,AVERAGE(1.49,1.5,1.05,1.7),H232=150,AVERAGE(1.49,1.5,1.05,1.7),H232=200,AVERAGE(1.15,1.15,0.9,1.3),H232=240,AVERAGE(1.15,1.15,0.9,1.3),H232=90,AVERAGE(1.15,1.15,0.9,1.3))</f>
        <v>1.4350000000000001</v>
      </c>
      <c r="K232" s="1"/>
      <c r="L232" s="2"/>
      <c r="M232" s="20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</row>
    <row r="233" spans="1:138" x14ac:dyDescent="0.3">
      <c r="A233" s="2"/>
      <c r="B233" s="2"/>
      <c r="C233" s="2"/>
      <c r="D233" s="2"/>
      <c r="E233" s="2"/>
      <c r="F233" s="2"/>
      <c r="G233" s="2"/>
      <c r="H233" s="2">
        <v>115</v>
      </c>
      <c r="I233" s="2" cm="1">
        <f t="array" ref="I233">_xlfn.IFS(H233=115,2,H233=150,2,H233=200,1.5,H233=240,1.5,H233=90,2.2)</f>
        <v>2</v>
      </c>
      <c r="J233" s="2" cm="1">
        <f t="array" ref="J233">+_xlfn.IFS(H233=115,AVERAGE(1.49,1.5,1.05,1.7),H233=150,AVERAGE(1.49,1.5,1.05,1.7),H233=200,AVERAGE(1.15,1.15,0.9,1.3),H233=240,AVERAGE(1.15,1.15,0.9,1.3),H233=90,AVERAGE(1.15,1.15,0.9,1.3))</f>
        <v>1.4350000000000001</v>
      </c>
      <c r="K233" s="1"/>
      <c r="L233" s="2"/>
      <c r="M233" s="20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</row>
    <row r="234" spans="1:138" x14ac:dyDescent="0.3">
      <c r="A234" s="2"/>
      <c r="B234" s="2"/>
      <c r="C234" s="2"/>
      <c r="D234" s="2"/>
      <c r="E234" s="2"/>
      <c r="F234" s="2"/>
      <c r="G234" s="2"/>
      <c r="H234" s="2">
        <v>115</v>
      </c>
      <c r="I234" s="2" cm="1">
        <f t="array" ref="I234">_xlfn.IFS(H234=115,2,H234=150,2,H234=200,1.5,H234=240,1.5,H234=90,2.2)</f>
        <v>2</v>
      </c>
      <c r="J234" s="2" cm="1">
        <f t="array" ref="J234">+_xlfn.IFS(H234=115,AVERAGE(1.49,1.5,1.05,1.7),H234=150,AVERAGE(1.49,1.5,1.05,1.7),H234=200,AVERAGE(1.15,1.15,0.9,1.3),H234=240,AVERAGE(1.15,1.15,0.9,1.3),H234=90,AVERAGE(1.15,1.15,0.9,1.3))</f>
        <v>1.4350000000000001</v>
      </c>
      <c r="K234" s="1"/>
      <c r="L234" s="2"/>
      <c r="M234" s="20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</row>
    <row r="235" spans="1:138" x14ac:dyDescent="0.3">
      <c r="A235" s="2"/>
      <c r="B235" s="2"/>
      <c r="C235" s="2"/>
      <c r="D235" s="2"/>
      <c r="E235" s="2"/>
      <c r="F235" s="2"/>
      <c r="G235" s="2"/>
      <c r="H235" s="2">
        <v>115</v>
      </c>
      <c r="I235" s="2" cm="1">
        <f t="array" ref="I235">_xlfn.IFS(H235=115,2,H235=150,2,H235=200,1.5,H235=240,1.5,H235=90,2.2)</f>
        <v>2</v>
      </c>
      <c r="J235" s="2" cm="1">
        <f t="array" ref="J235">+_xlfn.IFS(H235=115,AVERAGE(1.49,1.5,1.05,1.7),H235=150,AVERAGE(1.49,1.5,1.05,1.7),H235=200,AVERAGE(1.15,1.15,0.9,1.3),H235=240,AVERAGE(1.15,1.15,0.9,1.3),H235=90,AVERAGE(1.15,1.15,0.9,1.3))</f>
        <v>1.4350000000000001</v>
      </c>
      <c r="K235" s="1"/>
      <c r="L235" s="2"/>
      <c r="M235" s="20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</row>
    <row r="236" spans="1:138" x14ac:dyDescent="0.3">
      <c r="A236" s="2"/>
      <c r="B236" s="2"/>
      <c r="C236" s="2"/>
      <c r="D236" s="2"/>
      <c r="E236" s="2"/>
      <c r="F236" s="2"/>
      <c r="G236" s="2"/>
      <c r="H236" s="2">
        <v>115</v>
      </c>
      <c r="I236" s="2" cm="1">
        <f t="array" ref="I236">_xlfn.IFS(H236=115,2,H236=150,2,H236=200,1.5,H236=240,1.5,H236=90,2.2)</f>
        <v>2</v>
      </c>
      <c r="J236" s="2" cm="1">
        <f t="array" ref="J236">+_xlfn.IFS(H236=115,AVERAGE(1.49,1.5,1.05,1.7),H236=150,AVERAGE(1.49,1.5,1.05,1.7),H236=200,AVERAGE(1.15,1.15,0.9,1.3),H236=240,AVERAGE(1.15,1.15,0.9,1.3),H236=90,AVERAGE(1.15,1.15,0.9,1.3))</f>
        <v>1.4350000000000001</v>
      </c>
      <c r="K236" s="1"/>
      <c r="L236" s="2"/>
      <c r="M236" s="20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</row>
    <row r="237" spans="1:138" x14ac:dyDescent="0.3">
      <c r="A237" s="2"/>
      <c r="B237" s="2"/>
      <c r="C237" s="2"/>
      <c r="D237" s="2"/>
      <c r="E237" s="2"/>
      <c r="F237" s="2"/>
      <c r="G237" s="2"/>
      <c r="H237" s="2">
        <v>115</v>
      </c>
      <c r="I237" s="2" cm="1">
        <f t="array" ref="I237">_xlfn.IFS(H237=115,2,H237=150,2,H237=200,1.5,H237=240,1.5,H237=90,2.2)</f>
        <v>2</v>
      </c>
      <c r="J237" s="2" cm="1">
        <f t="array" ref="J237">+_xlfn.IFS(H237=115,AVERAGE(1.49,1.5,1.05,1.7),H237=150,AVERAGE(1.49,1.5,1.05,1.7),H237=200,AVERAGE(1.15,1.15,0.9,1.3),H237=240,AVERAGE(1.15,1.15,0.9,1.3),H237=90,AVERAGE(1.15,1.15,0.9,1.3))</f>
        <v>1.4350000000000001</v>
      </c>
      <c r="K237" s="1"/>
      <c r="L237" s="2"/>
      <c r="M237" s="20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</row>
    <row r="238" spans="1:138" x14ac:dyDescent="0.3">
      <c r="A238" s="2"/>
      <c r="B238" s="2"/>
      <c r="C238" s="2"/>
      <c r="D238" s="2"/>
      <c r="E238" s="2"/>
      <c r="F238" s="2"/>
      <c r="G238" s="2"/>
      <c r="H238" s="2">
        <v>115</v>
      </c>
      <c r="I238" s="2" cm="1">
        <f t="array" ref="I238">_xlfn.IFS(H238=115,2,H238=150,2,H238=200,1.5,H238=240,1.5,H238=90,2.2)</f>
        <v>2</v>
      </c>
      <c r="J238" s="2" cm="1">
        <f t="array" ref="J238">+_xlfn.IFS(H238=115,AVERAGE(1.49,1.5,1.05,1.7),H238=150,AVERAGE(1.49,1.5,1.05,1.7),H238=200,AVERAGE(1.15,1.15,0.9,1.3),H238=240,AVERAGE(1.15,1.15,0.9,1.3),H238=90,AVERAGE(1.15,1.15,0.9,1.3))</f>
        <v>1.4350000000000001</v>
      </c>
      <c r="K238" s="1"/>
      <c r="L238" s="2"/>
      <c r="M238" s="20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</row>
    <row r="239" spans="1:138" x14ac:dyDescent="0.3">
      <c r="A239" s="2"/>
      <c r="B239" s="2"/>
      <c r="C239" s="2"/>
      <c r="D239" s="2"/>
      <c r="E239" s="2"/>
      <c r="F239" s="2"/>
      <c r="G239" s="2"/>
      <c r="H239" s="2">
        <v>115</v>
      </c>
      <c r="I239" s="2" cm="1">
        <f t="array" ref="I239">_xlfn.IFS(H239=115,2,H239=150,2,H239=200,1.5,H239=240,1.5,H239=90,2.2)</f>
        <v>2</v>
      </c>
      <c r="J239" s="2" cm="1">
        <f t="array" ref="J239">+_xlfn.IFS(H239=115,AVERAGE(1.49,1.5,1.05,1.7),H239=150,AVERAGE(1.49,1.5,1.05,1.7),H239=200,AVERAGE(1.15,1.15,0.9,1.3),H239=240,AVERAGE(1.15,1.15,0.9,1.3),H239=90,AVERAGE(1.15,1.15,0.9,1.3))</f>
        <v>1.4350000000000001</v>
      </c>
      <c r="K239" s="1"/>
      <c r="L239" s="2"/>
      <c r="M239" s="20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</row>
    <row r="240" spans="1:138" x14ac:dyDescent="0.3">
      <c r="A240" s="2"/>
      <c r="B240" s="2"/>
      <c r="C240" s="2"/>
      <c r="D240" s="2"/>
      <c r="E240" s="2"/>
      <c r="F240" s="2"/>
      <c r="G240" s="2"/>
      <c r="H240" s="2">
        <v>115</v>
      </c>
      <c r="I240" s="2" cm="1">
        <f t="array" ref="I240">_xlfn.IFS(H240=115,2,H240=150,2,H240=200,1.5,H240=240,1.5,H240=90,2.2)</f>
        <v>2</v>
      </c>
      <c r="J240" s="2" cm="1">
        <f t="array" ref="J240">+_xlfn.IFS(H240=115,AVERAGE(1.49,1.5,1.05,1.7),H240=150,AVERAGE(1.49,1.5,1.05,1.7),H240=200,AVERAGE(1.15,1.15,0.9,1.3),H240=240,AVERAGE(1.15,1.15,0.9,1.3),H240=90,AVERAGE(1.15,1.15,0.9,1.3))</f>
        <v>1.4350000000000001</v>
      </c>
      <c r="K240" s="1"/>
      <c r="L240" s="2"/>
      <c r="M240" s="20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</row>
    <row r="241" spans="1:138" x14ac:dyDescent="0.3">
      <c r="A241" s="2"/>
      <c r="B241" s="2"/>
      <c r="C241" s="2"/>
      <c r="D241" s="2"/>
      <c r="E241" s="2"/>
      <c r="F241" s="2"/>
      <c r="G241" s="2"/>
      <c r="H241" s="2">
        <v>115</v>
      </c>
      <c r="I241" s="2" cm="1">
        <f t="array" ref="I241">_xlfn.IFS(H241=115,2,H241=150,2,H241=200,1.5,H241=240,1.5,H241=90,2.2)</f>
        <v>2</v>
      </c>
      <c r="J241" s="2" cm="1">
        <f t="array" ref="J241">+_xlfn.IFS(H241=115,AVERAGE(1.49,1.5,1.05,1.7),H241=150,AVERAGE(1.49,1.5,1.05,1.7),H241=200,AVERAGE(1.15,1.15,0.9,1.3),H241=240,AVERAGE(1.15,1.15,0.9,1.3),H241=90,AVERAGE(1.15,1.15,0.9,1.3))</f>
        <v>1.4350000000000001</v>
      </c>
      <c r="K241" s="1"/>
      <c r="L241" s="2"/>
      <c r="M241" s="20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</row>
    <row r="242" spans="1:138" x14ac:dyDescent="0.3">
      <c r="A242" s="2"/>
      <c r="B242" s="2"/>
      <c r="C242" s="2"/>
      <c r="D242" s="2"/>
      <c r="E242" s="2"/>
      <c r="F242" s="2"/>
      <c r="G242" s="2"/>
      <c r="H242" s="2">
        <v>115</v>
      </c>
      <c r="I242" s="2" cm="1">
        <f t="array" ref="I242">_xlfn.IFS(H242=115,2,H242=150,2,H242=200,1.5,H242=240,1.5,H242=90,2.2)</f>
        <v>2</v>
      </c>
      <c r="J242" s="2" cm="1">
        <f t="array" ref="J242">+_xlfn.IFS(H242=115,AVERAGE(1.49,1.5,1.05,1.7),H242=150,AVERAGE(1.49,1.5,1.05,1.7),H242=200,AVERAGE(1.15,1.15,0.9,1.3),H242=240,AVERAGE(1.15,1.15,0.9,1.3),H242=90,AVERAGE(1.15,1.15,0.9,1.3))</f>
        <v>1.4350000000000001</v>
      </c>
      <c r="K242" s="1"/>
      <c r="L242" s="2"/>
      <c r="M242" s="20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</row>
    <row r="243" spans="1:138" x14ac:dyDescent="0.3">
      <c r="A243" s="2"/>
      <c r="B243" s="2"/>
      <c r="C243" s="2"/>
      <c r="D243" s="2"/>
      <c r="E243" s="2"/>
      <c r="F243" s="2"/>
      <c r="G243" s="2"/>
      <c r="H243" s="2">
        <v>115</v>
      </c>
      <c r="I243" s="2" cm="1">
        <f t="array" ref="I243">_xlfn.IFS(H243=115,2,H243=150,2,H243=200,1.5,H243=240,1.5,H243=90,2.2)</f>
        <v>2</v>
      </c>
      <c r="J243" s="2" cm="1">
        <f t="array" ref="J243">+_xlfn.IFS(H243=115,AVERAGE(1.49,1.5,1.05,1.7),H243=150,AVERAGE(1.49,1.5,1.05,1.7),H243=200,AVERAGE(1.15,1.15,0.9,1.3),H243=240,AVERAGE(1.15,1.15,0.9,1.3),H243=90,AVERAGE(1.15,1.15,0.9,1.3))</f>
        <v>1.4350000000000001</v>
      </c>
      <c r="K243" s="1"/>
      <c r="L243" s="2"/>
      <c r="M243" s="20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</row>
    <row r="244" spans="1:138" x14ac:dyDescent="0.3">
      <c r="A244" s="2"/>
      <c r="B244" s="2"/>
      <c r="C244" s="2"/>
      <c r="D244" s="2"/>
      <c r="E244" s="2"/>
      <c r="F244" s="2"/>
      <c r="G244" s="2"/>
      <c r="H244" s="2">
        <v>115</v>
      </c>
      <c r="I244" s="2" cm="1">
        <f t="array" ref="I244">_xlfn.IFS(H244=115,2,H244=150,2,H244=200,1.5,H244=240,1.5,H244=90,2.2)</f>
        <v>2</v>
      </c>
      <c r="J244" s="2" cm="1">
        <f t="array" ref="J244">+_xlfn.IFS(H244=115,AVERAGE(1.49,1.5,1.05,1.7),H244=150,AVERAGE(1.49,1.5,1.05,1.7),H244=200,AVERAGE(1.15,1.15,0.9,1.3),H244=240,AVERAGE(1.15,1.15,0.9,1.3),H244=90,AVERAGE(1.15,1.15,0.9,1.3))</f>
        <v>1.4350000000000001</v>
      </c>
      <c r="K244" s="1"/>
      <c r="L244" s="2"/>
      <c r="M244" s="20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</row>
    <row r="245" spans="1:138" x14ac:dyDescent="0.3">
      <c r="A245" s="2"/>
      <c r="B245" s="2"/>
      <c r="C245" s="2"/>
      <c r="D245" s="2"/>
      <c r="E245" s="2"/>
      <c r="F245" s="2"/>
      <c r="G245" s="2"/>
      <c r="H245" s="2">
        <v>115</v>
      </c>
      <c r="I245" s="2" cm="1">
        <f t="array" ref="I245">_xlfn.IFS(H245=115,2,H245=150,2,H245=200,1.5,H245=240,1.5,H245=90,2.2)</f>
        <v>2</v>
      </c>
      <c r="J245" s="2" cm="1">
        <f t="array" ref="J245">+_xlfn.IFS(H245=115,AVERAGE(1.49,1.5,1.05,1.7),H245=150,AVERAGE(1.49,1.5,1.05,1.7),H245=200,AVERAGE(1.15,1.15,0.9,1.3),H245=240,AVERAGE(1.15,1.15,0.9,1.3),H245=90,AVERAGE(1.15,1.15,0.9,1.3))</f>
        <v>1.4350000000000001</v>
      </c>
      <c r="K245" s="1"/>
      <c r="L245" s="2"/>
      <c r="M245" s="20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</row>
    <row r="246" spans="1:138" x14ac:dyDescent="0.3">
      <c r="A246" s="2"/>
      <c r="B246" s="2"/>
      <c r="C246" s="2"/>
      <c r="D246" s="2"/>
      <c r="E246" s="2"/>
      <c r="F246" s="2"/>
      <c r="G246" s="2"/>
      <c r="H246" s="2">
        <v>115</v>
      </c>
      <c r="I246" s="2" cm="1">
        <f t="array" ref="I246">_xlfn.IFS(H246=115,2,H246=150,2,H246=200,1.5,H246=240,1.5,H246=90,2.2)</f>
        <v>2</v>
      </c>
      <c r="J246" s="2" cm="1">
        <f t="array" ref="J246">+_xlfn.IFS(H246=115,AVERAGE(1.49,1.5,1.05,1.7),H246=150,AVERAGE(1.49,1.5,1.05,1.7),H246=200,AVERAGE(1.15,1.15,0.9,1.3),H246=240,AVERAGE(1.15,1.15,0.9,1.3),H246=90,AVERAGE(1.15,1.15,0.9,1.3))</f>
        <v>1.4350000000000001</v>
      </c>
      <c r="K246" s="1"/>
      <c r="L246" s="2"/>
      <c r="M246" s="20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</row>
    <row r="247" spans="1:138" x14ac:dyDescent="0.3">
      <c r="A247" s="2"/>
      <c r="B247" s="2"/>
      <c r="C247" s="2"/>
      <c r="D247" s="2"/>
      <c r="E247" s="2"/>
      <c r="F247" s="2"/>
      <c r="G247" s="2"/>
      <c r="H247" s="2">
        <v>115</v>
      </c>
      <c r="I247" s="2" cm="1">
        <f t="array" ref="I247">_xlfn.IFS(H247=115,2,H247=150,2,H247=200,1.5,H247=240,1.5,H247=90,2.2)</f>
        <v>2</v>
      </c>
      <c r="J247" s="2" cm="1">
        <f t="array" ref="J247">+_xlfn.IFS(H247=115,AVERAGE(1.49,1.5,1.05,1.7),H247=150,AVERAGE(1.49,1.5,1.05,1.7),H247=200,AVERAGE(1.15,1.15,0.9,1.3),H247=240,AVERAGE(1.15,1.15,0.9,1.3),H247=90,AVERAGE(1.15,1.15,0.9,1.3))</f>
        <v>1.4350000000000001</v>
      </c>
      <c r="K247" s="1"/>
      <c r="L247" s="2"/>
      <c r="M247" s="20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</row>
    <row r="248" spans="1:138" x14ac:dyDescent="0.3">
      <c r="A248" s="2"/>
      <c r="B248" s="2"/>
      <c r="C248" s="2"/>
      <c r="D248" s="2"/>
      <c r="E248" s="2"/>
      <c r="F248" s="2"/>
      <c r="G248" s="2"/>
      <c r="H248" s="2">
        <v>115</v>
      </c>
      <c r="I248" s="2" cm="1">
        <f t="array" ref="I248">_xlfn.IFS(H248=115,2,H248=150,2,H248=200,1.5,H248=240,1.5,H248=90,2.2)</f>
        <v>2</v>
      </c>
      <c r="J248" s="2" cm="1">
        <f t="array" ref="J248">+_xlfn.IFS(H248=115,AVERAGE(1.49,1.5,1.05,1.7),H248=150,AVERAGE(1.49,1.5,1.05,1.7),H248=200,AVERAGE(1.15,1.15,0.9,1.3),H248=240,AVERAGE(1.15,1.15,0.9,1.3),H248=90,AVERAGE(1.15,1.15,0.9,1.3))</f>
        <v>1.4350000000000001</v>
      </c>
      <c r="K248" s="1"/>
      <c r="L248" s="2"/>
      <c r="M248" s="20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</row>
    <row r="249" spans="1:138" x14ac:dyDescent="0.3">
      <c r="A249" s="2"/>
      <c r="B249" s="2"/>
      <c r="C249" s="2"/>
      <c r="D249" s="2"/>
      <c r="E249" s="2"/>
      <c r="F249" s="2"/>
      <c r="G249" s="2"/>
      <c r="H249" s="2">
        <v>115</v>
      </c>
      <c r="I249" s="2" cm="1">
        <f t="array" ref="I249">_xlfn.IFS(H249=115,2,H249=150,2,H249=200,1.5,H249=240,1.5,H249=90,2.2)</f>
        <v>2</v>
      </c>
      <c r="J249" s="2" cm="1">
        <f t="array" ref="J249">+_xlfn.IFS(H249=115,AVERAGE(1.49,1.5,1.05,1.7),H249=150,AVERAGE(1.49,1.5,1.05,1.7),H249=200,AVERAGE(1.15,1.15,0.9,1.3),H249=240,AVERAGE(1.15,1.15,0.9,1.3),H249=90,AVERAGE(1.15,1.15,0.9,1.3))</f>
        <v>1.4350000000000001</v>
      </c>
      <c r="K249" s="1"/>
      <c r="L249" s="2"/>
      <c r="M249" s="20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</row>
    <row r="250" spans="1:138" x14ac:dyDescent="0.3">
      <c r="A250" s="2"/>
      <c r="B250" s="2"/>
      <c r="C250" s="2"/>
      <c r="D250" s="2"/>
      <c r="E250" s="2"/>
      <c r="F250" s="2"/>
      <c r="G250" s="2"/>
      <c r="H250" s="2">
        <v>115</v>
      </c>
      <c r="I250" s="2" cm="1">
        <f t="array" ref="I250">_xlfn.IFS(H250=115,2,H250=150,2,H250=200,1.5,H250=240,1.5,H250=90,2.2)</f>
        <v>2</v>
      </c>
      <c r="J250" s="2" cm="1">
        <f t="array" ref="J250">+_xlfn.IFS(H250=115,AVERAGE(1.49,1.5,1.05,1.7),H250=150,AVERAGE(1.49,1.5,1.05,1.7),H250=200,AVERAGE(1.15,1.15,0.9,1.3),H250=240,AVERAGE(1.15,1.15,0.9,1.3),H250=90,AVERAGE(1.15,1.15,0.9,1.3))</f>
        <v>1.4350000000000001</v>
      </c>
      <c r="K250" s="1"/>
      <c r="L250" s="2"/>
      <c r="M250" s="20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</row>
    <row r="251" spans="1:138" x14ac:dyDescent="0.3">
      <c r="A251" s="2"/>
      <c r="B251" s="2"/>
      <c r="C251" s="2"/>
      <c r="D251" s="2"/>
      <c r="E251" s="2"/>
      <c r="F251" s="2"/>
      <c r="G251" s="2"/>
      <c r="H251" s="2">
        <v>115</v>
      </c>
      <c r="I251" s="2" cm="1">
        <f t="array" ref="I251">_xlfn.IFS(H251=115,2,H251=150,2,H251=200,1.5,H251=240,1.5,H251=90,2.2)</f>
        <v>2</v>
      </c>
      <c r="J251" s="2" cm="1">
        <f t="array" ref="J251">+_xlfn.IFS(H251=115,AVERAGE(1.49,1.5,1.05,1.7),H251=150,AVERAGE(1.49,1.5,1.05,1.7),H251=200,AVERAGE(1.15,1.15,0.9,1.3),H251=240,AVERAGE(1.15,1.15,0.9,1.3),H251=90,AVERAGE(1.15,1.15,0.9,1.3))</f>
        <v>1.4350000000000001</v>
      </c>
      <c r="K251" s="1"/>
      <c r="L251" s="2"/>
      <c r="M251" s="20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</row>
    <row r="252" spans="1:138" x14ac:dyDescent="0.3">
      <c r="A252" s="2"/>
      <c r="B252" s="2"/>
      <c r="C252" s="2"/>
      <c r="D252" s="2"/>
      <c r="E252" s="2"/>
      <c r="F252" s="2"/>
      <c r="G252" s="2"/>
      <c r="H252" s="2">
        <v>115</v>
      </c>
      <c r="I252" s="2" cm="1">
        <f t="array" ref="I252">_xlfn.IFS(H252=115,2,H252=150,2,H252=200,1.5,H252=240,1.5,H252=90,2.2)</f>
        <v>2</v>
      </c>
      <c r="J252" s="2" cm="1">
        <f t="array" ref="J252">+_xlfn.IFS(H252=115,AVERAGE(1.49,1.5,1.05,1.7),H252=150,AVERAGE(1.49,1.5,1.05,1.7),H252=200,AVERAGE(1.15,1.15,0.9,1.3),H252=240,AVERAGE(1.15,1.15,0.9,1.3),H252=90,AVERAGE(1.15,1.15,0.9,1.3))</f>
        <v>1.4350000000000001</v>
      </c>
      <c r="K252" s="1"/>
      <c r="L252" s="2"/>
      <c r="M252" s="20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</row>
    <row r="253" spans="1:138" x14ac:dyDescent="0.3">
      <c r="A253" s="2"/>
      <c r="B253" s="2"/>
      <c r="C253" s="2"/>
      <c r="D253" s="2"/>
      <c r="E253" s="2"/>
      <c r="F253" s="2"/>
      <c r="G253" s="2"/>
      <c r="H253" s="2">
        <v>115</v>
      </c>
      <c r="I253" s="2" cm="1">
        <f t="array" ref="I253">_xlfn.IFS(H253=115,2,H253=150,2,H253=200,1.5,H253=240,1.5,H253=90,2.2)</f>
        <v>2</v>
      </c>
      <c r="J253" s="2" cm="1">
        <f t="array" ref="J253">+_xlfn.IFS(H253=115,AVERAGE(1.49,1.5,1.05,1.7),H253=150,AVERAGE(1.49,1.5,1.05,1.7),H253=200,AVERAGE(1.15,1.15,0.9,1.3),H253=240,AVERAGE(1.15,1.15,0.9,1.3),H253=90,AVERAGE(1.15,1.15,0.9,1.3))</f>
        <v>1.4350000000000001</v>
      </c>
      <c r="K253" s="1"/>
      <c r="L253" s="2"/>
      <c r="M253" s="20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</row>
    <row r="254" spans="1:138" x14ac:dyDescent="0.3">
      <c r="A254" s="2"/>
      <c r="B254" s="2"/>
      <c r="C254" s="2"/>
      <c r="D254" s="2"/>
      <c r="E254" s="2"/>
      <c r="F254" s="2"/>
      <c r="G254" s="2"/>
      <c r="H254" s="2">
        <v>115</v>
      </c>
      <c r="I254" s="2" cm="1">
        <f t="array" ref="I254">_xlfn.IFS(H254=115,2,H254=150,2,H254=200,1.5,H254=240,1.5,H254=90,2.2)</f>
        <v>2</v>
      </c>
      <c r="J254" s="2" cm="1">
        <f t="array" ref="J254">+_xlfn.IFS(H254=115,AVERAGE(1.49,1.5,1.05,1.7),H254=150,AVERAGE(1.49,1.5,1.05,1.7),H254=200,AVERAGE(1.15,1.15,0.9,1.3),H254=240,AVERAGE(1.15,1.15,0.9,1.3),H254=90,AVERAGE(1.15,1.15,0.9,1.3))</f>
        <v>1.4350000000000001</v>
      </c>
      <c r="K254" s="1"/>
      <c r="L254" s="2"/>
      <c r="M254" s="20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</row>
    <row r="255" spans="1:138" x14ac:dyDescent="0.3">
      <c r="A255" s="2"/>
      <c r="B255" s="2"/>
      <c r="C255" s="2"/>
      <c r="D255" s="2"/>
      <c r="E255" s="2"/>
      <c r="F255" s="2"/>
      <c r="G255" s="2"/>
      <c r="H255" s="2">
        <v>115</v>
      </c>
      <c r="I255" s="2" cm="1">
        <f t="array" ref="I255">_xlfn.IFS(H255=115,2,H255=150,2,H255=200,1.5,H255=240,1.5,H255=90,2.2)</f>
        <v>2</v>
      </c>
      <c r="J255" s="2" cm="1">
        <f t="array" ref="J255">+_xlfn.IFS(H255=115,AVERAGE(1.49,1.5,1.05,1.7),H255=150,AVERAGE(1.49,1.5,1.05,1.7),H255=200,AVERAGE(1.15,1.15,0.9,1.3),H255=240,AVERAGE(1.15,1.15,0.9,1.3),H255=90,AVERAGE(1.15,1.15,0.9,1.3))</f>
        <v>1.4350000000000001</v>
      </c>
      <c r="K255" s="1"/>
      <c r="L255" s="2"/>
      <c r="M255" s="20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</row>
    <row r="256" spans="1:138" x14ac:dyDescent="0.3">
      <c r="A256" s="2"/>
      <c r="B256" s="2"/>
      <c r="C256" s="2"/>
      <c r="D256" s="2"/>
      <c r="E256" s="2"/>
      <c r="F256" s="2"/>
      <c r="G256" s="2"/>
      <c r="H256" s="2">
        <v>115</v>
      </c>
      <c r="I256" s="2" cm="1">
        <f t="array" ref="I256">_xlfn.IFS(H256=115,2,H256=150,2,H256=200,1.5,H256=240,1.5,H256=90,2.2)</f>
        <v>2</v>
      </c>
      <c r="J256" s="2" cm="1">
        <f t="array" ref="J256">+_xlfn.IFS(H256=115,AVERAGE(1.49,1.5,1.05,1.7),H256=150,AVERAGE(1.49,1.5,1.05,1.7),H256=200,AVERAGE(1.15,1.15,0.9,1.3),H256=240,AVERAGE(1.15,1.15,0.9,1.3),H256=90,AVERAGE(1.15,1.15,0.9,1.3))</f>
        <v>1.4350000000000001</v>
      </c>
      <c r="K256" s="1"/>
      <c r="L256" s="2"/>
      <c r="M256" s="20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</row>
    <row r="257" spans="1:138" x14ac:dyDescent="0.3">
      <c r="A257" s="2"/>
      <c r="B257" s="2"/>
      <c r="C257" s="2"/>
      <c r="D257" s="2"/>
      <c r="E257" s="2"/>
      <c r="F257" s="2"/>
      <c r="G257" s="2"/>
      <c r="H257" s="2">
        <v>115</v>
      </c>
      <c r="I257" s="2" cm="1">
        <f t="array" ref="I257">_xlfn.IFS(H257=115,2,H257=150,2,H257=200,1.5,H257=240,1.5,H257=90,2.2)</f>
        <v>2</v>
      </c>
      <c r="J257" s="2" cm="1">
        <f t="array" ref="J257">+_xlfn.IFS(H257=115,AVERAGE(1.49,1.5,1.05,1.7),H257=150,AVERAGE(1.49,1.5,1.05,1.7),H257=200,AVERAGE(1.15,1.15,0.9,1.3),H257=240,AVERAGE(1.15,1.15,0.9,1.3),H257=90,AVERAGE(1.15,1.15,0.9,1.3))</f>
        <v>1.4350000000000001</v>
      </c>
      <c r="K257" s="1"/>
      <c r="L257" s="2"/>
      <c r="M257" s="20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</row>
    <row r="258" spans="1:138" x14ac:dyDescent="0.3">
      <c r="A258" s="2"/>
      <c r="B258" s="2"/>
      <c r="C258" s="2"/>
      <c r="D258" s="2"/>
      <c r="E258" s="2"/>
      <c r="F258" s="2"/>
      <c r="G258" s="2"/>
      <c r="H258" s="2">
        <v>115</v>
      </c>
      <c r="I258" s="2" cm="1">
        <f t="array" ref="I258">_xlfn.IFS(H258=115,2,H258=150,2,H258=200,1.5,H258=240,1.5,H258=90,2.2)</f>
        <v>2</v>
      </c>
      <c r="J258" s="2" cm="1">
        <f t="array" ref="J258">+_xlfn.IFS(H258=115,AVERAGE(1.49,1.5,1.05,1.7),H258=150,AVERAGE(1.49,1.5,1.05,1.7),H258=200,AVERAGE(1.15,1.15,0.9,1.3),H258=240,AVERAGE(1.15,1.15,0.9,1.3),H258=90,AVERAGE(1.15,1.15,0.9,1.3))</f>
        <v>1.4350000000000001</v>
      </c>
      <c r="K258" s="1"/>
      <c r="L258" s="2"/>
      <c r="M258" s="20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</row>
    <row r="259" spans="1:138" x14ac:dyDescent="0.3">
      <c r="A259" s="2"/>
      <c r="B259" s="2"/>
      <c r="C259" s="2"/>
      <c r="D259" s="2"/>
      <c r="E259" s="2"/>
      <c r="F259" s="2"/>
      <c r="G259" s="2"/>
      <c r="H259" s="2">
        <v>115</v>
      </c>
      <c r="I259" s="2" cm="1">
        <f t="array" ref="I259">_xlfn.IFS(H259=115,2,H259=150,2,H259=200,1.5,H259=240,1.5,H259=90,2.2)</f>
        <v>2</v>
      </c>
      <c r="J259" s="2" cm="1">
        <f t="array" ref="J259">+_xlfn.IFS(H259=115,AVERAGE(1.49,1.5,1.05,1.7),H259=150,AVERAGE(1.49,1.5,1.05,1.7),H259=200,AVERAGE(1.15,1.15,0.9,1.3),H259=240,AVERAGE(1.15,1.15,0.9,1.3),H259=90,AVERAGE(1.15,1.15,0.9,1.3))</f>
        <v>1.4350000000000001</v>
      </c>
      <c r="K259" s="1"/>
      <c r="L259" s="2"/>
      <c r="M259" s="20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</row>
    <row r="260" spans="1:138" x14ac:dyDescent="0.3">
      <c r="A260" s="2"/>
      <c r="B260" s="2"/>
      <c r="C260" s="2"/>
      <c r="D260" s="2"/>
      <c r="E260" s="2"/>
      <c r="F260" s="2"/>
      <c r="G260" s="2"/>
      <c r="H260" s="2">
        <v>115</v>
      </c>
      <c r="I260" s="2" cm="1">
        <f t="array" ref="I260">_xlfn.IFS(H260=115,2,H260=150,2,H260=200,1.5,H260=240,1.5,H260=90,2.2)</f>
        <v>2</v>
      </c>
      <c r="J260" s="2" cm="1">
        <f t="array" ref="J260">+_xlfn.IFS(H260=115,AVERAGE(1.49,1.5,1.05,1.7),H260=150,AVERAGE(1.49,1.5,1.05,1.7),H260=200,AVERAGE(1.15,1.15,0.9,1.3),H260=240,AVERAGE(1.15,1.15,0.9,1.3),H260=90,AVERAGE(1.15,1.15,0.9,1.3))</f>
        <v>1.4350000000000001</v>
      </c>
      <c r="K260" s="1"/>
      <c r="L260" s="2"/>
      <c r="M260" s="20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</row>
    <row r="261" spans="1:138" x14ac:dyDescent="0.3">
      <c r="A261" s="2"/>
      <c r="B261" s="2"/>
      <c r="C261" s="2"/>
      <c r="D261" s="2"/>
      <c r="E261" s="2"/>
      <c r="F261" s="2"/>
      <c r="G261" s="2"/>
      <c r="H261" s="2">
        <v>115</v>
      </c>
      <c r="I261" s="2" cm="1">
        <f t="array" ref="I261">_xlfn.IFS(H261=115,2,H261=150,2,H261=200,1.5,H261=240,1.5,H261=90,2.2)</f>
        <v>2</v>
      </c>
      <c r="J261" s="2" cm="1">
        <f t="array" ref="J261">+_xlfn.IFS(H261=115,AVERAGE(1.49,1.5,1.05,1.7),H261=150,AVERAGE(1.49,1.5,1.05,1.7),H261=200,AVERAGE(1.15,1.15,0.9,1.3),H261=240,AVERAGE(1.15,1.15,0.9,1.3),H261=90,AVERAGE(1.15,1.15,0.9,1.3))</f>
        <v>1.4350000000000001</v>
      </c>
      <c r="K261" s="1"/>
      <c r="L261" s="2"/>
      <c r="M261" s="20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</row>
    <row r="262" spans="1:138" x14ac:dyDescent="0.3">
      <c r="A262" s="2"/>
      <c r="B262" s="2"/>
      <c r="C262" s="2"/>
      <c r="D262" s="2"/>
      <c r="E262" s="2"/>
      <c r="F262" s="2"/>
      <c r="G262" s="2"/>
      <c r="H262" s="2">
        <v>115</v>
      </c>
      <c r="I262" s="2" cm="1">
        <f t="array" ref="I262">_xlfn.IFS(H262=115,2,H262=150,2,H262=200,1.5,H262=240,1.5,H262=90,2.2)</f>
        <v>2</v>
      </c>
      <c r="J262" s="2" cm="1">
        <f t="array" ref="J262">+_xlfn.IFS(H262=115,AVERAGE(1.49,1.5,1.05,1.7),H262=150,AVERAGE(1.49,1.5,1.05,1.7),H262=200,AVERAGE(1.15,1.15,0.9,1.3),H262=240,AVERAGE(1.15,1.15,0.9,1.3),H262=90,AVERAGE(1.15,1.15,0.9,1.3))</f>
        <v>1.4350000000000001</v>
      </c>
      <c r="K262" s="1"/>
      <c r="L262" s="2"/>
      <c r="M262" s="20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</row>
    <row r="263" spans="1:138" x14ac:dyDescent="0.3">
      <c r="A263" s="2"/>
      <c r="B263" s="2"/>
      <c r="C263" s="2"/>
      <c r="D263" s="2"/>
      <c r="E263" s="2"/>
      <c r="F263" s="2"/>
      <c r="G263" s="2"/>
      <c r="H263" s="2">
        <v>115</v>
      </c>
      <c r="I263" s="2" cm="1">
        <f t="array" ref="I263">_xlfn.IFS(H263=115,2,H263=150,2,H263=200,1.5,H263=240,1.5,H263=90,2.2)</f>
        <v>2</v>
      </c>
      <c r="J263" s="2" cm="1">
        <f t="array" ref="J263">+_xlfn.IFS(H263=115,AVERAGE(1.49,1.5,1.05,1.7),H263=150,AVERAGE(1.49,1.5,1.05,1.7),H263=200,AVERAGE(1.15,1.15,0.9,1.3),H263=240,AVERAGE(1.15,1.15,0.9,1.3),H263=90,AVERAGE(1.15,1.15,0.9,1.3))</f>
        <v>1.4350000000000001</v>
      </c>
      <c r="K263" s="1"/>
      <c r="L263" s="2"/>
      <c r="M263" s="20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</row>
    <row r="264" spans="1:138" x14ac:dyDescent="0.3">
      <c r="A264" s="2"/>
      <c r="B264" s="2"/>
      <c r="C264" s="2"/>
      <c r="D264" s="2"/>
      <c r="E264" s="2"/>
      <c r="F264" s="2"/>
      <c r="G264" s="2"/>
      <c r="H264" s="2">
        <v>115</v>
      </c>
      <c r="I264" s="2" cm="1">
        <f t="array" ref="I264">_xlfn.IFS(H264=115,2,H264=150,2,H264=200,1.5,H264=240,1.5,H264=90,2.2)</f>
        <v>2</v>
      </c>
      <c r="J264" s="2" cm="1">
        <f t="array" ref="J264">+_xlfn.IFS(H264=115,AVERAGE(1.49,1.5,1.05,1.7),H264=150,AVERAGE(1.49,1.5,1.05,1.7),H264=200,AVERAGE(1.15,1.15,0.9,1.3),H264=240,AVERAGE(1.15,1.15,0.9,1.3),H264=90,AVERAGE(1.15,1.15,0.9,1.3))</f>
        <v>1.4350000000000001</v>
      </c>
      <c r="K264" s="1"/>
      <c r="L264" s="2"/>
      <c r="M264" s="20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</row>
    <row r="265" spans="1:138" x14ac:dyDescent="0.3">
      <c r="A265" s="2"/>
      <c r="B265" s="2"/>
      <c r="C265" s="2"/>
      <c r="D265" s="2"/>
      <c r="E265" s="2"/>
      <c r="F265" s="2"/>
      <c r="G265" s="2"/>
      <c r="H265" s="2">
        <v>115</v>
      </c>
      <c r="I265" s="2" cm="1">
        <f t="array" ref="I265">_xlfn.IFS(H265=115,2,H265=150,2,H265=200,1.5,H265=240,1.5,H265=90,2.2)</f>
        <v>2</v>
      </c>
      <c r="J265" s="2" cm="1">
        <f t="array" ref="J265">+_xlfn.IFS(H265=115,AVERAGE(1.49,1.5,1.05,1.7),H265=150,AVERAGE(1.49,1.5,1.05,1.7),H265=200,AVERAGE(1.15,1.15,0.9,1.3),H265=240,AVERAGE(1.15,1.15,0.9,1.3),H265=90,AVERAGE(1.15,1.15,0.9,1.3))</f>
        <v>1.4350000000000001</v>
      </c>
      <c r="K265" s="1"/>
      <c r="L265" s="2"/>
      <c r="M265" s="20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</row>
    <row r="266" spans="1:138" x14ac:dyDescent="0.3">
      <c r="A266" s="2"/>
      <c r="B266" s="2"/>
      <c r="C266" s="2"/>
      <c r="D266" s="2"/>
      <c r="E266" s="2"/>
      <c r="F266" s="2"/>
      <c r="G266" s="2"/>
      <c r="H266" s="2">
        <v>115</v>
      </c>
      <c r="I266" s="2" cm="1">
        <f t="array" ref="I266">_xlfn.IFS(H266=115,2,H266=150,2,H266=200,1.5,H266=240,1.5,H266=90,2.2)</f>
        <v>2</v>
      </c>
      <c r="J266" s="2" cm="1">
        <f t="array" ref="J266">+_xlfn.IFS(H266=115,AVERAGE(1.49,1.5,1.05,1.7),H266=150,AVERAGE(1.49,1.5,1.05,1.7),H266=200,AVERAGE(1.15,1.15,0.9,1.3),H266=240,AVERAGE(1.15,1.15,0.9,1.3),H266=90,AVERAGE(1.15,1.15,0.9,1.3))</f>
        <v>1.4350000000000001</v>
      </c>
      <c r="K266" s="1"/>
      <c r="L266" s="2"/>
      <c r="M266" s="20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</row>
    <row r="267" spans="1:138" x14ac:dyDescent="0.3">
      <c r="A267" s="2"/>
      <c r="B267" s="2"/>
      <c r="C267" s="2"/>
      <c r="D267" s="2"/>
      <c r="E267" s="2"/>
      <c r="F267" s="2"/>
      <c r="G267" s="2"/>
      <c r="H267" s="2">
        <v>115</v>
      </c>
      <c r="I267" s="2" cm="1">
        <f t="array" ref="I267">_xlfn.IFS(H267=115,2,H267=150,2,H267=200,1.5,H267=240,1.5,H267=90,2.2)</f>
        <v>2</v>
      </c>
      <c r="J267" s="2" cm="1">
        <f t="array" ref="J267">+_xlfn.IFS(H267=115,AVERAGE(1.49,1.5,1.05,1.7),H267=150,AVERAGE(1.49,1.5,1.05,1.7),H267=200,AVERAGE(1.15,1.15,0.9,1.3),H267=240,AVERAGE(1.15,1.15,0.9,1.3),H267=90,AVERAGE(1.15,1.15,0.9,1.3))</f>
        <v>1.4350000000000001</v>
      </c>
      <c r="K267" s="1"/>
      <c r="L267" s="2"/>
      <c r="M267" s="20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</row>
    <row r="268" spans="1:138" x14ac:dyDescent="0.3">
      <c r="A268" s="2"/>
      <c r="B268" s="2"/>
      <c r="C268" s="2"/>
      <c r="D268" s="2"/>
      <c r="E268" s="2"/>
      <c r="F268" s="2"/>
      <c r="G268" s="2"/>
      <c r="H268" s="2">
        <v>115</v>
      </c>
      <c r="I268" s="2" cm="1">
        <f t="array" ref="I268">_xlfn.IFS(H268=115,2,H268=150,2,H268=200,1.5,H268=240,1.5,H268=90,2.2)</f>
        <v>2</v>
      </c>
      <c r="J268" s="2" cm="1">
        <f t="array" ref="J268">+_xlfn.IFS(H268=115,AVERAGE(1.49,1.5,1.05,1.7),H268=150,AVERAGE(1.49,1.5,1.05,1.7),H268=200,AVERAGE(1.15,1.15,0.9,1.3),H268=240,AVERAGE(1.15,1.15,0.9,1.3),H268=90,AVERAGE(1.15,1.15,0.9,1.3))</f>
        <v>1.4350000000000001</v>
      </c>
      <c r="K268" s="1"/>
      <c r="L268" s="2"/>
      <c r="M268" s="20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</row>
    <row r="269" spans="1:138" x14ac:dyDescent="0.3">
      <c r="A269" s="2"/>
      <c r="B269" s="2"/>
      <c r="C269" s="2"/>
      <c r="D269" s="2"/>
      <c r="E269" s="2"/>
      <c r="F269" s="2"/>
      <c r="G269" s="2"/>
      <c r="H269" s="2">
        <v>115</v>
      </c>
      <c r="I269" s="2" cm="1">
        <f t="array" ref="I269">_xlfn.IFS(H269=115,2,H269=150,2,H269=200,1.5,H269=240,1.5,H269=90,2.2)</f>
        <v>2</v>
      </c>
      <c r="J269" s="2" cm="1">
        <f t="array" ref="J269">+_xlfn.IFS(H269=115,AVERAGE(1.49,1.5,1.05,1.7),H269=150,AVERAGE(1.49,1.5,1.05,1.7),H269=200,AVERAGE(1.15,1.15,0.9,1.3),H269=240,AVERAGE(1.15,1.15,0.9,1.3),H269=90,AVERAGE(1.15,1.15,0.9,1.3))</f>
        <v>1.4350000000000001</v>
      </c>
      <c r="K269" s="1"/>
      <c r="L269" s="2"/>
      <c r="M269" s="20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</row>
    <row r="270" spans="1:138" x14ac:dyDescent="0.3">
      <c r="A270" s="2"/>
      <c r="B270" s="2"/>
      <c r="C270" s="2"/>
      <c r="D270" s="2"/>
      <c r="E270" s="2"/>
      <c r="F270" s="2"/>
      <c r="G270" s="2"/>
      <c r="H270" s="2">
        <v>115</v>
      </c>
      <c r="I270" s="2" cm="1">
        <f t="array" ref="I270">_xlfn.IFS(H270=115,2,H270=150,2,H270=200,1.5,H270=240,1.5,H270=90,2.2)</f>
        <v>2</v>
      </c>
      <c r="J270" s="2" cm="1">
        <f t="array" ref="J270">+_xlfn.IFS(H270=115,AVERAGE(1.49,1.5,1.05,1.7),H270=150,AVERAGE(1.49,1.5,1.05,1.7),H270=200,AVERAGE(1.15,1.15,0.9,1.3),H270=240,AVERAGE(1.15,1.15,0.9,1.3),H270=90,AVERAGE(1.15,1.15,0.9,1.3))</f>
        <v>1.4350000000000001</v>
      </c>
      <c r="K270" s="1"/>
      <c r="L270" s="2"/>
      <c r="M270" s="20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</row>
    <row r="271" spans="1:138" x14ac:dyDescent="0.3">
      <c r="A271" s="2"/>
      <c r="B271" s="2"/>
      <c r="C271" s="2"/>
      <c r="D271" s="2"/>
      <c r="E271" s="2"/>
      <c r="F271" s="2"/>
      <c r="G271" s="2"/>
      <c r="H271" s="2">
        <v>115</v>
      </c>
      <c r="I271" s="2" cm="1">
        <f t="array" ref="I271">_xlfn.IFS(H271=115,2,H271=150,2,H271=200,1.5,H271=240,1.5,H271=90,2.2)</f>
        <v>2</v>
      </c>
      <c r="J271" s="2" cm="1">
        <f t="array" ref="J271">+_xlfn.IFS(H271=115,AVERAGE(1.49,1.5,1.05,1.7),H271=150,AVERAGE(1.49,1.5,1.05,1.7),H271=200,AVERAGE(1.15,1.15,0.9,1.3),H271=240,AVERAGE(1.15,1.15,0.9,1.3),H271=90,AVERAGE(1.15,1.15,0.9,1.3))</f>
        <v>1.4350000000000001</v>
      </c>
      <c r="K271" s="1"/>
      <c r="L271" s="2"/>
      <c r="M271" s="20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</row>
    <row r="272" spans="1:138" x14ac:dyDescent="0.3">
      <c r="A272" s="2"/>
      <c r="B272" s="2"/>
      <c r="C272" s="2"/>
      <c r="D272" s="2"/>
      <c r="E272" s="2"/>
      <c r="F272" s="2"/>
      <c r="G272" s="2"/>
      <c r="H272" s="2">
        <v>115</v>
      </c>
      <c r="I272" s="2" cm="1">
        <f t="array" ref="I272">_xlfn.IFS(H272=115,2,H272=150,2,H272=200,1.5,H272=240,1.5,H272=90,2.2)</f>
        <v>2</v>
      </c>
      <c r="J272" s="2" cm="1">
        <f t="array" ref="J272">+_xlfn.IFS(H272=115,AVERAGE(1.49,1.5,1.05,1.7),H272=150,AVERAGE(1.49,1.5,1.05,1.7),H272=200,AVERAGE(1.15,1.15,0.9,1.3),H272=240,AVERAGE(1.15,1.15,0.9,1.3),H272=90,AVERAGE(1.15,1.15,0.9,1.3))</f>
        <v>1.4350000000000001</v>
      </c>
      <c r="K272" s="1"/>
      <c r="L272" s="2"/>
      <c r="M272" s="20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</row>
    <row r="273" spans="1:138" x14ac:dyDescent="0.3">
      <c r="A273" s="2"/>
      <c r="B273" s="2"/>
      <c r="C273" s="2"/>
      <c r="D273" s="2"/>
      <c r="E273" s="2"/>
      <c r="F273" s="2"/>
      <c r="G273" s="2"/>
      <c r="H273" s="2">
        <v>115</v>
      </c>
      <c r="I273" s="2" cm="1">
        <f t="array" ref="I273">_xlfn.IFS(H273=115,2,H273=150,2,H273=200,1.5,H273=240,1.5,H273=90,2.2)</f>
        <v>2</v>
      </c>
      <c r="J273" s="2" cm="1">
        <f t="array" ref="J273">+_xlfn.IFS(H273=115,AVERAGE(1.49,1.5,1.05,1.7),H273=150,AVERAGE(1.49,1.5,1.05,1.7),H273=200,AVERAGE(1.15,1.15,0.9,1.3),H273=240,AVERAGE(1.15,1.15,0.9,1.3),H273=90,AVERAGE(1.15,1.15,0.9,1.3))</f>
        <v>1.4350000000000001</v>
      </c>
      <c r="K273" s="1"/>
      <c r="L273" s="2"/>
      <c r="M273" s="20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</row>
    <row r="274" spans="1:138" x14ac:dyDescent="0.3">
      <c r="A274" s="2"/>
      <c r="B274" s="2"/>
      <c r="C274" s="2"/>
      <c r="D274" s="2"/>
      <c r="E274" s="2"/>
      <c r="F274" s="2"/>
      <c r="G274" s="2"/>
      <c r="H274" s="2">
        <v>115</v>
      </c>
      <c r="I274" s="2" cm="1">
        <f t="array" ref="I274">_xlfn.IFS(H274=115,2,H274=150,2,H274=200,1.5,H274=240,1.5,H274=90,2.2)</f>
        <v>2</v>
      </c>
      <c r="J274" s="2" cm="1">
        <f t="array" ref="J274">+_xlfn.IFS(H274=115,AVERAGE(1.49,1.5,1.05,1.7),H274=150,AVERAGE(1.49,1.5,1.05,1.7),H274=200,AVERAGE(1.15,1.15,0.9,1.3),H274=240,AVERAGE(1.15,1.15,0.9,1.3),H274=90,AVERAGE(1.15,1.15,0.9,1.3))</f>
        <v>1.4350000000000001</v>
      </c>
      <c r="K274" s="1"/>
      <c r="L274" s="2"/>
      <c r="M274" s="20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</row>
    <row r="275" spans="1:138" x14ac:dyDescent="0.3">
      <c r="A275" s="2"/>
      <c r="B275" s="2"/>
      <c r="C275" s="2"/>
      <c r="D275" s="2"/>
      <c r="E275" s="2"/>
      <c r="F275" s="2"/>
      <c r="G275" s="2"/>
      <c r="H275" s="2">
        <v>115</v>
      </c>
      <c r="I275" s="2" cm="1">
        <f t="array" ref="I275">_xlfn.IFS(H275=115,2,H275=150,2,H275=200,1.5,H275=240,1.5,H275=90,2.2)</f>
        <v>2</v>
      </c>
      <c r="J275" s="2" cm="1">
        <f t="array" ref="J275">+_xlfn.IFS(H275=115,AVERAGE(1.49,1.5,1.05,1.7),H275=150,AVERAGE(1.49,1.5,1.05,1.7),H275=200,AVERAGE(1.15,1.15,0.9,1.3),H275=240,AVERAGE(1.15,1.15,0.9,1.3),H275=90,AVERAGE(1.15,1.15,0.9,1.3))</f>
        <v>1.4350000000000001</v>
      </c>
      <c r="K275" s="1"/>
      <c r="L275" s="2"/>
      <c r="M275" s="20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</row>
    <row r="276" spans="1:138" x14ac:dyDescent="0.3">
      <c r="A276" s="2"/>
      <c r="B276" s="2"/>
      <c r="C276" s="2"/>
      <c r="D276" s="2"/>
      <c r="E276" s="2"/>
      <c r="F276" s="2"/>
      <c r="G276" s="2"/>
      <c r="H276" s="2">
        <v>115</v>
      </c>
      <c r="I276" s="2" cm="1">
        <f t="array" ref="I276">_xlfn.IFS(H276=115,2,H276=150,2,H276=200,1.5,H276=240,1.5,H276=90,2.2)</f>
        <v>2</v>
      </c>
      <c r="J276" s="2" cm="1">
        <f t="array" ref="J276">+_xlfn.IFS(H276=115,AVERAGE(1.49,1.5,1.05,1.7),H276=150,AVERAGE(1.49,1.5,1.05,1.7),H276=200,AVERAGE(1.15,1.15,0.9,1.3),H276=240,AVERAGE(1.15,1.15,0.9,1.3),H276=90,AVERAGE(1.15,1.15,0.9,1.3))</f>
        <v>1.4350000000000001</v>
      </c>
      <c r="K276" s="1"/>
      <c r="L276" s="2"/>
      <c r="M276" s="20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</row>
    <row r="277" spans="1:138" x14ac:dyDescent="0.3">
      <c r="A277" s="2"/>
      <c r="B277" s="2"/>
      <c r="C277" s="2"/>
      <c r="D277" s="2"/>
      <c r="E277" s="2"/>
      <c r="F277" s="2"/>
      <c r="G277" s="2"/>
      <c r="H277" s="2">
        <v>115</v>
      </c>
      <c r="I277" s="2" cm="1">
        <f t="array" ref="I277">_xlfn.IFS(H277=115,2,H277=150,2,H277=200,1.5,H277=240,1.5,H277=90,2.2)</f>
        <v>2</v>
      </c>
      <c r="J277" s="2" cm="1">
        <f t="array" ref="J277">+_xlfn.IFS(H277=115,AVERAGE(1.49,1.5,1.05,1.7),H277=150,AVERAGE(1.49,1.5,1.05,1.7),H277=200,AVERAGE(1.15,1.15,0.9,1.3),H277=240,AVERAGE(1.15,1.15,0.9,1.3),H277=90,AVERAGE(1.15,1.15,0.9,1.3))</f>
        <v>1.4350000000000001</v>
      </c>
      <c r="K277" s="1"/>
      <c r="L277" s="2"/>
      <c r="M277" s="20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</row>
    <row r="278" spans="1:138" x14ac:dyDescent="0.3">
      <c r="A278" s="2"/>
      <c r="B278" s="2"/>
      <c r="C278" s="2"/>
      <c r="D278" s="2"/>
      <c r="E278" s="2"/>
      <c r="F278" s="2"/>
      <c r="G278" s="2"/>
      <c r="H278" s="2">
        <v>115</v>
      </c>
      <c r="I278" s="2" cm="1">
        <f t="array" ref="I278">_xlfn.IFS(H278=115,2,H278=150,2,H278=200,1.5,H278=240,1.5,H278=90,2.2)</f>
        <v>2</v>
      </c>
      <c r="J278" s="2" cm="1">
        <f t="array" ref="J278">+_xlfn.IFS(H278=115,AVERAGE(1.49,1.5,1.05,1.7),H278=150,AVERAGE(1.49,1.5,1.05,1.7),H278=200,AVERAGE(1.15,1.15,0.9,1.3),H278=240,AVERAGE(1.15,1.15,0.9,1.3),H278=90,AVERAGE(1.15,1.15,0.9,1.3))</f>
        <v>1.4350000000000001</v>
      </c>
      <c r="K278" s="1"/>
      <c r="L278" s="2"/>
      <c r="M278" s="20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</row>
    <row r="279" spans="1:138" x14ac:dyDescent="0.3">
      <c r="A279" s="2"/>
      <c r="B279" s="2"/>
      <c r="C279" s="2"/>
      <c r="D279" s="2"/>
      <c r="E279" s="2"/>
      <c r="F279" s="2"/>
      <c r="G279" s="2"/>
      <c r="H279" s="2">
        <v>115</v>
      </c>
      <c r="I279" s="2" cm="1">
        <f t="array" ref="I279">_xlfn.IFS(H279=115,2,H279=150,2,H279=200,1.5,H279=240,1.5,H279=90,2.2)</f>
        <v>2</v>
      </c>
      <c r="J279" s="2" cm="1">
        <f t="array" ref="J279">+_xlfn.IFS(H279=115,AVERAGE(1.49,1.5,1.05,1.7),H279=150,AVERAGE(1.49,1.5,1.05,1.7),H279=200,AVERAGE(1.15,1.15,0.9,1.3),H279=240,AVERAGE(1.15,1.15,0.9,1.3),H279=90,AVERAGE(1.15,1.15,0.9,1.3))</f>
        <v>1.4350000000000001</v>
      </c>
      <c r="K279" s="1"/>
      <c r="L279" s="2"/>
      <c r="M279" s="20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</row>
    <row r="280" spans="1:138" x14ac:dyDescent="0.3">
      <c r="A280" s="2"/>
      <c r="B280" s="2"/>
      <c r="C280" s="2"/>
      <c r="D280" s="2"/>
      <c r="E280" s="2"/>
      <c r="F280" s="2"/>
      <c r="G280" s="2"/>
      <c r="H280" s="2">
        <v>115</v>
      </c>
      <c r="I280" s="2" cm="1">
        <f t="array" ref="I280">_xlfn.IFS(H280=115,2,H280=150,2,H280=200,1.5,H280=240,1.5,H280=90,2.2)</f>
        <v>2</v>
      </c>
      <c r="J280" s="2" cm="1">
        <f t="array" ref="J280">+_xlfn.IFS(H280=115,AVERAGE(1.49,1.5,1.05,1.7),H280=150,AVERAGE(1.49,1.5,1.05,1.7),H280=200,AVERAGE(1.15,1.15,0.9,1.3),H280=240,AVERAGE(1.15,1.15,0.9,1.3),H280=90,AVERAGE(1.15,1.15,0.9,1.3))</f>
        <v>1.4350000000000001</v>
      </c>
      <c r="K280" s="1"/>
      <c r="L280" s="2"/>
      <c r="M280" s="20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</row>
    <row r="281" spans="1:138" x14ac:dyDescent="0.3">
      <c r="A281" s="2"/>
      <c r="B281" s="2"/>
      <c r="C281" s="2"/>
      <c r="D281" s="2"/>
      <c r="E281" s="2"/>
      <c r="F281" s="2"/>
      <c r="G281" s="2"/>
      <c r="H281" s="2">
        <v>115</v>
      </c>
      <c r="I281" s="2" cm="1">
        <f t="array" ref="I281">_xlfn.IFS(H281=115,2,H281=150,2,H281=200,1.5,H281=240,1.5,H281=90,2.2)</f>
        <v>2</v>
      </c>
      <c r="J281" s="2" cm="1">
        <f t="array" ref="J281">+_xlfn.IFS(H281=115,AVERAGE(1.49,1.5,1.05,1.7),H281=150,AVERAGE(1.49,1.5,1.05,1.7),H281=200,AVERAGE(1.15,1.15,0.9,1.3),H281=240,AVERAGE(1.15,1.15,0.9,1.3),H281=90,AVERAGE(1.15,1.15,0.9,1.3))</f>
        <v>1.4350000000000001</v>
      </c>
      <c r="K281" s="1"/>
      <c r="L281" s="2"/>
      <c r="M281" s="20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</row>
    <row r="282" spans="1:138" x14ac:dyDescent="0.3">
      <c r="A282" s="2"/>
      <c r="B282" s="2"/>
      <c r="C282" s="2"/>
      <c r="D282" s="2"/>
      <c r="E282" s="2"/>
      <c r="F282" s="2"/>
      <c r="G282" s="2"/>
      <c r="H282" s="2">
        <v>115</v>
      </c>
      <c r="I282" s="2" cm="1">
        <f t="array" ref="I282">_xlfn.IFS(H282=115,2,H282=150,2,H282=200,1.5,H282=240,1.5,H282=90,2.2)</f>
        <v>2</v>
      </c>
      <c r="J282" s="2" cm="1">
        <f t="array" ref="J282">+_xlfn.IFS(H282=115,AVERAGE(1.49,1.5,1.05,1.7),H282=150,AVERAGE(1.49,1.5,1.05,1.7),H282=200,AVERAGE(1.15,1.15,0.9,1.3),H282=240,AVERAGE(1.15,1.15,0.9,1.3),H282=90,AVERAGE(1.15,1.15,0.9,1.3))</f>
        <v>1.4350000000000001</v>
      </c>
      <c r="K282" s="1"/>
      <c r="L282" s="2"/>
      <c r="M282" s="20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</row>
    <row r="283" spans="1:138" x14ac:dyDescent="0.3">
      <c r="A283" s="2"/>
      <c r="B283" s="2"/>
      <c r="C283" s="2"/>
      <c r="D283" s="2"/>
      <c r="E283" s="2"/>
      <c r="F283" s="2"/>
      <c r="G283" s="2"/>
      <c r="H283" s="2">
        <v>115</v>
      </c>
      <c r="I283" s="2" cm="1">
        <f t="array" ref="I283">_xlfn.IFS(H283=115,2,H283=150,2,H283=200,1.5,H283=240,1.5,H283=90,2.2)</f>
        <v>2</v>
      </c>
      <c r="J283" s="2" cm="1">
        <f t="array" ref="J283">+_xlfn.IFS(H283=115,AVERAGE(1.49,1.5,1.05,1.7),H283=150,AVERAGE(1.49,1.5,1.05,1.7),H283=200,AVERAGE(1.15,1.15,0.9,1.3),H283=240,AVERAGE(1.15,1.15,0.9,1.3),H283=90,AVERAGE(1.15,1.15,0.9,1.3))</f>
        <v>1.4350000000000001</v>
      </c>
      <c r="K283" s="1"/>
      <c r="L283" s="2"/>
      <c r="M283" s="20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</row>
    <row r="284" spans="1:138" x14ac:dyDescent="0.3">
      <c r="A284" s="2"/>
      <c r="B284" s="2"/>
      <c r="C284" s="2"/>
      <c r="D284" s="2"/>
      <c r="E284" s="2"/>
      <c r="F284" s="2"/>
      <c r="G284" s="2"/>
      <c r="H284" s="2">
        <v>115</v>
      </c>
      <c r="I284" s="2" cm="1">
        <f t="array" ref="I284">_xlfn.IFS(H284=115,2,H284=150,2,H284=200,1.5,H284=240,1.5,H284=90,2.2)</f>
        <v>2</v>
      </c>
      <c r="J284" s="2" cm="1">
        <f t="array" ref="J284">+_xlfn.IFS(H284=115,AVERAGE(1.49,1.5,1.05,1.7),H284=150,AVERAGE(1.49,1.5,1.05,1.7),H284=200,AVERAGE(1.15,1.15,0.9,1.3),H284=240,AVERAGE(1.15,1.15,0.9,1.3),H284=90,AVERAGE(1.15,1.15,0.9,1.3))</f>
        <v>1.4350000000000001</v>
      </c>
      <c r="K284" s="1"/>
      <c r="L284" s="2"/>
      <c r="M284" s="20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</row>
    <row r="285" spans="1:138" x14ac:dyDescent="0.3">
      <c r="A285" s="2"/>
      <c r="B285" s="2"/>
      <c r="C285" s="2"/>
      <c r="D285" s="2"/>
      <c r="E285" s="2"/>
      <c r="F285" s="2"/>
      <c r="G285" s="2"/>
      <c r="H285" s="2">
        <v>115</v>
      </c>
      <c r="I285" s="2" cm="1">
        <f t="array" ref="I285">_xlfn.IFS(H285=115,2,H285=150,2,H285=200,1.5,H285=240,1.5,H285=90,2.2)</f>
        <v>2</v>
      </c>
      <c r="J285" s="2" cm="1">
        <f t="array" ref="J285">+_xlfn.IFS(H285=115,AVERAGE(1.49,1.5,1.05,1.7),H285=150,AVERAGE(1.49,1.5,1.05,1.7),H285=200,AVERAGE(1.15,1.15,0.9,1.3),H285=240,AVERAGE(1.15,1.15,0.9,1.3),H285=90,AVERAGE(1.15,1.15,0.9,1.3))</f>
        <v>1.4350000000000001</v>
      </c>
      <c r="K285" s="1"/>
      <c r="L285" s="2"/>
      <c r="M285" s="20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</row>
    <row r="286" spans="1:138" x14ac:dyDescent="0.3">
      <c r="A286" s="2"/>
      <c r="B286" s="2"/>
      <c r="C286" s="2"/>
      <c r="D286" s="2"/>
      <c r="E286" s="2"/>
      <c r="F286" s="2"/>
      <c r="G286" s="2"/>
      <c r="H286" s="2">
        <v>115</v>
      </c>
      <c r="I286" s="2" cm="1">
        <f t="array" ref="I286">_xlfn.IFS(H286=115,2,H286=150,2,H286=200,1.5,H286=240,1.5,H286=90,2.2)</f>
        <v>2</v>
      </c>
      <c r="J286" s="2" cm="1">
        <f t="array" ref="J286">+_xlfn.IFS(H286=115,AVERAGE(1.49,1.5,1.05,1.7),H286=150,AVERAGE(1.49,1.5,1.05,1.7),H286=200,AVERAGE(1.15,1.15,0.9,1.3),H286=240,AVERAGE(1.15,1.15,0.9,1.3),H286=90,AVERAGE(1.15,1.15,0.9,1.3))</f>
        <v>1.4350000000000001</v>
      </c>
      <c r="K286" s="1"/>
      <c r="L286" s="2"/>
      <c r="M286" s="20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</row>
    <row r="287" spans="1:138" x14ac:dyDescent="0.3">
      <c r="A287" s="2"/>
      <c r="B287" s="2"/>
      <c r="C287" s="2"/>
      <c r="D287" s="2"/>
      <c r="E287" s="2"/>
      <c r="F287" s="2"/>
      <c r="G287" s="2"/>
      <c r="H287" s="2">
        <v>115</v>
      </c>
      <c r="I287" s="2" cm="1">
        <f t="array" ref="I287">_xlfn.IFS(H287=115,2,H287=150,2,H287=200,1.5,H287=240,1.5,H287=90,2.2)</f>
        <v>2</v>
      </c>
      <c r="J287" s="2" cm="1">
        <f t="array" ref="J287">+_xlfn.IFS(H287=115,AVERAGE(1.49,1.5,1.05,1.7),H287=150,AVERAGE(1.49,1.5,1.05,1.7),H287=200,AVERAGE(1.15,1.15,0.9,1.3),H287=240,AVERAGE(1.15,1.15,0.9,1.3),H287=90,AVERAGE(1.15,1.15,0.9,1.3))</f>
        <v>1.4350000000000001</v>
      </c>
      <c r="K287" s="1"/>
      <c r="L287" s="2"/>
      <c r="M287" s="20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</row>
    <row r="288" spans="1:138" x14ac:dyDescent="0.3">
      <c r="A288" s="2"/>
      <c r="B288" s="2"/>
      <c r="C288" s="2"/>
      <c r="D288" s="2"/>
      <c r="E288" s="2"/>
      <c r="F288" s="2"/>
      <c r="G288" s="2"/>
      <c r="H288" s="2">
        <v>115</v>
      </c>
      <c r="I288" s="2" cm="1">
        <f t="array" ref="I288">_xlfn.IFS(H288=115,2,H288=150,2,H288=200,1.5,H288=240,1.5,H288=90,2.2)</f>
        <v>2</v>
      </c>
      <c r="J288" s="2" cm="1">
        <f t="array" ref="J288">+_xlfn.IFS(H288=115,AVERAGE(1.49,1.5,1.05,1.7),H288=150,AVERAGE(1.49,1.5,1.05,1.7),H288=200,AVERAGE(1.15,1.15,0.9,1.3),H288=240,AVERAGE(1.15,1.15,0.9,1.3),H288=90,AVERAGE(1.15,1.15,0.9,1.3))</f>
        <v>1.4350000000000001</v>
      </c>
      <c r="K288" s="1"/>
      <c r="L288" s="2"/>
      <c r="M288" s="20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</row>
    <row r="289" spans="1:138" x14ac:dyDescent="0.3">
      <c r="A289" s="2"/>
      <c r="B289" s="2"/>
      <c r="C289" s="2"/>
      <c r="D289" s="2"/>
      <c r="E289" s="2"/>
      <c r="F289" s="2"/>
      <c r="G289" s="2"/>
      <c r="H289" s="2">
        <v>115</v>
      </c>
      <c r="I289" s="2" cm="1">
        <f t="array" ref="I289">_xlfn.IFS(H289=115,2,H289=150,2,H289=200,1.5,H289=240,1.5,H289=90,2.2)</f>
        <v>2</v>
      </c>
      <c r="J289" s="2" cm="1">
        <f t="array" ref="J289">+_xlfn.IFS(H289=115,AVERAGE(1.49,1.5,1.05,1.7),H289=150,AVERAGE(1.49,1.5,1.05,1.7),H289=200,AVERAGE(1.15,1.15,0.9,1.3),H289=240,AVERAGE(1.15,1.15,0.9,1.3),H289=90,AVERAGE(1.15,1.15,0.9,1.3))</f>
        <v>1.4350000000000001</v>
      </c>
      <c r="K289" s="1"/>
      <c r="L289" s="2"/>
      <c r="M289" s="20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</row>
    <row r="290" spans="1:138" x14ac:dyDescent="0.3">
      <c r="A290" s="2"/>
      <c r="B290" s="2"/>
      <c r="C290" s="2"/>
      <c r="D290" s="2"/>
      <c r="E290" s="2"/>
      <c r="F290" s="2"/>
      <c r="G290" s="2"/>
      <c r="H290" s="2">
        <v>115</v>
      </c>
      <c r="I290" s="2" cm="1">
        <f t="array" ref="I290">_xlfn.IFS(H290=115,2,H290=150,2,H290=200,1.5,H290=240,1.5,H290=90,2.2)</f>
        <v>2</v>
      </c>
      <c r="J290" s="2" cm="1">
        <f t="array" ref="J290">+_xlfn.IFS(H290=115,AVERAGE(1.49,1.5,1.05,1.7),H290=150,AVERAGE(1.49,1.5,1.05,1.7),H290=200,AVERAGE(1.15,1.15,0.9,1.3),H290=240,AVERAGE(1.15,1.15,0.9,1.3),H290=90,AVERAGE(1.15,1.15,0.9,1.3))</f>
        <v>1.4350000000000001</v>
      </c>
      <c r="K290" s="1"/>
      <c r="L290" s="2"/>
      <c r="M290" s="20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</row>
    <row r="291" spans="1:138" x14ac:dyDescent="0.3">
      <c r="A291" s="2"/>
      <c r="B291" s="2"/>
      <c r="C291" s="2"/>
      <c r="D291" s="2"/>
      <c r="E291" s="2"/>
      <c r="F291" s="2"/>
      <c r="G291" s="2"/>
      <c r="H291" s="2">
        <v>115</v>
      </c>
      <c r="I291" s="2" cm="1">
        <f t="array" ref="I291">_xlfn.IFS(H291=115,2,H291=150,2,H291=200,1.5,H291=240,1.5,H291=90,2.2)</f>
        <v>2</v>
      </c>
      <c r="J291" s="2" cm="1">
        <f t="array" ref="J291">+_xlfn.IFS(H291=115,AVERAGE(1.49,1.5,1.05,1.7),H291=150,AVERAGE(1.49,1.5,1.05,1.7),H291=200,AVERAGE(1.15,1.15,0.9,1.3),H291=240,AVERAGE(1.15,1.15,0.9,1.3),H291=90,AVERAGE(1.15,1.15,0.9,1.3))</f>
        <v>1.4350000000000001</v>
      </c>
      <c r="K291" s="1"/>
      <c r="L291" s="2"/>
      <c r="M291" s="20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</row>
    <row r="292" spans="1:138" x14ac:dyDescent="0.3">
      <c r="A292" s="2"/>
      <c r="B292" s="2"/>
      <c r="C292" s="2"/>
      <c r="D292" s="2"/>
      <c r="E292" s="2"/>
      <c r="F292" s="2"/>
      <c r="G292" s="2"/>
      <c r="H292" s="2">
        <v>115</v>
      </c>
      <c r="I292" s="2" cm="1">
        <f t="array" ref="I292">_xlfn.IFS(H292=115,2,H292=150,2,H292=200,1.5,H292=240,1.5,H292=90,2.2)</f>
        <v>2</v>
      </c>
      <c r="J292" s="2" cm="1">
        <f t="array" ref="J292">+_xlfn.IFS(H292=115,AVERAGE(1.49,1.5,1.05,1.7),H292=150,AVERAGE(1.49,1.5,1.05,1.7),H292=200,AVERAGE(1.15,1.15,0.9,1.3),H292=240,AVERAGE(1.15,1.15,0.9,1.3),H292=90,AVERAGE(1.15,1.15,0.9,1.3))</f>
        <v>1.4350000000000001</v>
      </c>
      <c r="K292" s="1"/>
      <c r="L292" s="2"/>
      <c r="M292" s="20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</row>
    <row r="293" spans="1:138" x14ac:dyDescent="0.3">
      <c r="A293" s="2"/>
      <c r="B293" s="2"/>
      <c r="C293" s="2"/>
      <c r="D293" s="2"/>
      <c r="E293" s="2"/>
      <c r="F293" s="2"/>
      <c r="G293" s="2"/>
      <c r="H293" s="2">
        <v>115</v>
      </c>
      <c r="I293" s="2" cm="1">
        <f t="array" ref="I293">_xlfn.IFS(H293=115,2,H293=150,2,H293=200,1.5,H293=240,1.5,H293=90,2.2)</f>
        <v>2</v>
      </c>
      <c r="J293" s="2" cm="1">
        <f t="array" ref="J293">+_xlfn.IFS(H293=115,AVERAGE(1.49,1.5,1.05,1.7),H293=150,AVERAGE(1.49,1.5,1.05,1.7),H293=200,AVERAGE(1.15,1.15,0.9,1.3),H293=240,AVERAGE(1.15,1.15,0.9,1.3),H293=90,AVERAGE(1.15,1.15,0.9,1.3))</f>
        <v>1.4350000000000001</v>
      </c>
      <c r="K293" s="1"/>
      <c r="L293" s="2"/>
      <c r="M293" s="20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</row>
    <row r="294" spans="1:138" x14ac:dyDescent="0.3">
      <c r="A294" s="2"/>
      <c r="B294" s="2"/>
      <c r="C294" s="2"/>
      <c r="D294" s="2"/>
      <c r="E294" s="2"/>
      <c r="F294" s="2"/>
      <c r="G294" s="2"/>
      <c r="H294" s="2">
        <v>115</v>
      </c>
      <c r="I294" s="2" cm="1">
        <f t="array" ref="I294">_xlfn.IFS(H294=115,2,H294=150,2,H294=200,1.5,H294=240,1.5,H294=90,2.2)</f>
        <v>2</v>
      </c>
      <c r="J294" s="2" cm="1">
        <f t="array" ref="J294">+_xlfn.IFS(H294=115,AVERAGE(1.49,1.5,1.05,1.7),H294=150,AVERAGE(1.49,1.5,1.05,1.7),H294=200,AVERAGE(1.15,1.15,0.9,1.3),H294=240,AVERAGE(1.15,1.15,0.9,1.3),H294=90,AVERAGE(1.15,1.15,0.9,1.3))</f>
        <v>1.4350000000000001</v>
      </c>
      <c r="K294" s="1"/>
      <c r="L294" s="2"/>
      <c r="M294" s="20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</row>
    <row r="295" spans="1:138" x14ac:dyDescent="0.3">
      <c r="A295" s="2"/>
      <c r="B295" s="2"/>
      <c r="C295" s="2"/>
      <c r="D295" s="2"/>
      <c r="E295" s="2"/>
      <c r="F295" s="2"/>
      <c r="G295" s="2"/>
      <c r="H295" s="2">
        <v>115</v>
      </c>
      <c r="I295" s="2" cm="1">
        <f t="array" ref="I295">_xlfn.IFS(H295=115,2,H295=150,2,H295=200,1.5,H295=240,1.5,H295=90,2.2)</f>
        <v>2</v>
      </c>
      <c r="J295" s="2" cm="1">
        <f t="array" ref="J295">+_xlfn.IFS(H295=115,AVERAGE(1.49,1.5,1.05,1.7),H295=150,AVERAGE(1.49,1.5,1.05,1.7),H295=200,AVERAGE(1.15,1.15,0.9,1.3),H295=240,AVERAGE(1.15,1.15,0.9,1.3),H295=90,AVERAGE(1.15,1.15,0.9,1.3))</f>
        <v>1.4350000000000001</v>
      </c>
      <c r="K295" s="1"/>
      <c r="L295" s="2"/>
      <c r="M295" s="20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</row>
    <row r="296" spans="1:138" x14ac:dyDescent="0.3">
      <c r="A296" s="2"/>
      <c r="B296" s="2"/>
      <c r="C296" s="2"/>
      <c r="D296" s="2"/>
      <c r="E296" s="2"/>
      <c r="F296" s="2"/>
      <c r="G296" s="2"/>
      <c r="H296" s="2">
        <v>115</v>
      </c>
      <c r="I296" s="2" cm="1">
        <f t="array" ref="I296">_xlfn.IFS(H296=115,2,H296=150,2,H296=200,1.5,H296=240,1.5,H296=90,2.2)</f>
        <v>2</v>
      </c>
      <c r="J296" s="2" cm="1">
        <f t="array" ref="J296">+_xlfn.IFS(H296=115,AVERAGE(1.49,1.5,1.05,1.7),H296=150,AVERAGE(1.49,1.5,1.05,1.7),H296=200,AVERAGE(1.15,1.15,0.9,1.3),H296=240,AVERAGE(1.15,1.15,0.9,1.3),H296=90,AVERAGE(1.15,1.15,0.9,1.3))</f>
        <v>1.4350000000000001</v>
      </c>
      <c r="K296" s="1"/>
      <c r="L296" s="2"/>
      <c r="M296" s="20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</row>
    <row r="297" spans="1:138" x14ac:dyDescent="0.3">
      <c r="A297" s="2"/>
      <c r="B297" s="2"/>
      <c r="C297" s="2"/>
      <c r="D297" s="2"/>
      <c r="E297" s="2"/>
      <c r="F297" s="2"/>
      <c r="G297" s="2"/>
      <c r="H297" s="2">
        <v>115</v>
      </c>
      <c r="I297" s="2" cm="1">
        <f t="array" ref="I297">_xlfn.IFS(H297=115,2,H297=150,2,H297=200,1.5,H297=240,1.5,H297=90,2.2)</f>
        <v>2</v>
      </c>
      <c r="J297" s="2" cm="1">
        <f t="array" ref="J297">+_xlfn.IFS(H297=115,AVERAGE(1.49,1.5,1.05,1.7),H297=150,AVERAGE(1.49,1.5,1.05,1.7),H297=200,AVERAGE(1.15,1.15,0.9,1.3),H297=240,AVERAGE(1.15,1.15,0.9,1.3),H297=90,AVERAGE(1.15,1.15,0.9,1.3))</f>
        <v>1.4350000000000001</v>
      </c>
      <c r="K297" s="1"/>
      <c r="L297" s="2"/>
      <c r="M297" s="20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</row>
    <row r="298" spans="1:138" x14ac:dyDescent="0.3">
      <c r="A298" s="2"/>
      <c r="B298" s="2"/>
      <c r="C298" s="2"/>
      <c r="D298" s="2"/>
      <c r="E298" s="2"/>
      <c r="F298" s="2"/>
      <c r="G298" s="2"/>
      <c r="H298" s="2">
        <v>115</v>
      </c>
      <c r="I298" s="2" cm="1">
        <f t="array" ref="I298">_xlfn.IFS(H298=115,2,H298=150,2,H298=200,1.5,H298=240,1.5,H298=90,2.2)</f>
        <v>2</v>
      </c>
      <c r="J298" s="2" cm="1">
        <f t="array" ref="J298">+_xlfn.IFS(H298=115,AVERAGE(1.49,1.5,1.05,1.7),H298=150,AVERAGE(1.49,1.5,1.05,1.7),H298=200,AVERAGE(1.15,1.15,0.9,1.3),H298=240,AVERAGE(1.15,1.15,0.9,1.3),H298=90,AVERAGE(1.15,1.15,0.9,1.3))</f>
        <v>1.4350000000000001</v>
      </c>
      <c r="K298" s="1"/>
      <c r="L298" s="2"/>
      <c r="M298" s="20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</row>
    <row r="299" spans="1:138" x14ac:dyDescent="0.3">
      <c r="A299" s="2"/>
      <c r="B299" s="2"/>
      <c r="C299" s="2"/>
      <c r="D299" s="2"/>
      <c r="E299" s="2"/>
      <c r="F299" s="2"/>
      <c r="G299" s="2"/>
      <c r="H299" s="2">
        <v>115</v>
      </c>
      <c r="I299" s="2" cm="1">
        <f t="array" ref="I299">_xlfn.IFS(H299=115,2,H299=150,2,H299=200,1.5,H299=240,1.5,H299=90,2.2)</f>
        <v>2</v>
      </c>
      <c r="J299" s="2" cm="1">
        <f t="array" ref="J299">+_xlfn.IFS(H299=115,AVERAGE(1.49,1.5,1.05,1.7),H299=150,AVERAGE(1.49,1.5,1.05,1.7),H299=200,AVERAGE(1.15,1.15,0.9,1.3),H299=240,AVERAGE(1.15,1.15,0.9,1.3),H299=90,AVERAGE(1.15,1.15,0.9,1.3))</f>
        <v>1.4350000000000001</v>
      </c>
      <c r="K299" s="1"/>
      <c r="L299" s="2"/>
      <c r="M299" s="20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</row>
    <row r="300" spans="1:138" x14ac:dyDescent="0.3">
      <c r="A300" s="2"/>
      <c r="B300" s="2"/>
      <c r="C300" s="2"/>
      <c r="D300" s="2"/>
      <c r="E300" s="2"/>
      <c r="F300" s="2"/>
      <c r="G300" s="2"/>
      <c r="H300" s="2">
        <v>115</v>
      </c>
      <c r="I300" s="2" cm="1">
        <f t="array" ref="I300">_xlfn.IFS(H300=115,2,H300=150,2,H300=200,1.5,H300=240,1.5,H300=90,2.2)</f>
        <v>2</v>
      </c>
      <c r="J300" s="2" cm="1">
        <f t="array" ref="J300">+_xlfn.IFS(H300=115,AVERAGE(1.49,1.5,1.05,1.7),H300=150,AVERAGE(1.49,1.5,1.05,1.7),H300=200,AVERAGE(1.15,1.15,0.9,1.3),H300=240,AVERAGE(1.15,1.15,0.9,1.3),H300=90,AVERAGE(1.15,1.15,0.9,1.3))</f>
        <v>1.4350000000000001</v>
      </c>
      <c r="K300" s="1"/>
      <c r="L300" s="2"/>
      <c r="M300" s="20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</row>
    <row r="301" spans="1:138" x14ac:dyDescent="0.3">
      <c r="A301" s="2"/>
      <c r="B301" s="2"/>
      <c r="C301" s="2"/>
      <c r="D301" s="2"/>
      <c r="E301" s="2"/>
      <c r="F301" s="2"/>
      <c r="G301" s="2"/>
      <c r="H301" s="2">
        <v>115</v>
      </c>
      <c r="I301" s="2" cm="1">
        <f t="array" ref="I301">_xlfn.IFS(H301=115,2,H301=150,2,H301=200,1.5,H301=240,1.5,H301=90,2.2)</f>
        <v>2</v>
      </c>
      <c r="J301" s="2" cm="1">
        <f t="array" ref="J301">+_xlfn.IFS(H301=115,AVERAGE(1.49,1.5,1.05,1.7),H301=150,AVERAGE(1.49,1.5,1.05,1.7),H301=200,AVERAGE(1.15,1.15,0.9,1.3),H301=240,AVERAGE(1.15,1.15,0.9,1.3),H301=90,AVERAGE(1.15,1.15,0.9,1.3))</f>
        <v>1.4350000000000001</v>
      </c>
      <c r="K301" s="1"/>
      <c r="L301" s="2"/>
      <c r="M301" s="20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</row>
    <row r="302" spans="1:138" x14ac:dyDescent="0.3">
      <c r="A302" s="2"/>
      <c r="B302" s="2"/>
      <c r="C302" s="2"/>
      <c r="D302" s="2"/>
      <c r="E302" s="2"/>
      <c r="F302" s="2"/>
      <c r="G302" s="2"/>
      <c r="H302" s="2">
        <v>115</v>
      </c>
      <c r="I302" s="2" cm="1">
        <f t="array" ref="I302">_xlfn.IFS(H302=115,2,H302=150,2,H302=200,1.5,H302=240,1.5,H302=90,2.2)</f>
        <v>2</v>
      </c>
      <c r="J302" s="2" cm="1">
        <f t="array" ref="J302">+_xlfn.IFS(H302=115,AVERAGE(1.49,1.5,1.05,1.7),H302=150,AVERAGE(1.49,1.5,1.05,1.7),H302=200,AVERAGE(1.15,1.15,0.9,1.3),H302=240,AVERAGE(1.15,1.15,0.9,1.3),H302=90,AVERAGE(1.15,1.15,0.9,1.3))</f>
        <v>1.4350000000000001</v>
      </c>
      <c r="K302" s="1"/>
      <c r="L302" s="2"/>
      <c r="M302" s="20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</row>
    <row r="303" spans="1:138" x14ac:dyDescent="0.3">
      <c r="A303" s="2"/>
      <c r="B303" s="2"/>
      <c r="C303" s="2"/>
      <c r="D303" s="2"/>
      <c r="E303" s="2"/>
      <c r="F303" s="2"/>
      <c r="G303" s="2"/>
      <c r="H303" s="2">
        <v>115</v>
      </c>
      <c r="I303" s="2" cm="1">
        <f t="array" ref="I303">_xlfn.IFS(H303=115,2,H303=150,2,H303=200,1.5,H303=240,1.5,H303=90,2.2)</f>
        <v>2</v>
      </c>
      <c r="J303" s="2" cm="1">
        <f t="array" ref="J303">+_xlfn.IFS(H303=115,AVERAGE(1.49,1.5,1.05,1.7),H303=150,AVERAGE(1.49,1.5,1.05,1.7),H303=200,AVERAGE(1.15,1.15,0.9,1.3),H303=240,AVERAGE(1.15,1.15,0.9,1.3),H303=90,AVERAGE(1.15,1.15,0.9,1.3))</f>
        <v>1.4350000000000001</v>
      </c>
      <c r="K303" s="1"/>
      <c r="L303" s="2"/>
      <c r="M303" s="20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</row>
    <row r="304" spans="1:138" x14ac:dyDescent="0.3">
      <c r="A304" s="2"/>
      <c r="B304" s="2"/>
      <c r="C304" s="2"/>
      <c r="D304" s="2"/>
      <c r="E304" s="2"/>
      <c r="F304" s="2"/>
      <c r="G304" s="2"/>
      <c r="H304" s="2">
        <v>115</v>
      </c>
      <c r="I304" s="2" cm="1">
        <f t="array" ref="I304">_xlfn.IFS(H304=115,2,H304=150,2,H304=200,1.5,H304=240,1.5,H304=90,2.2)</f>
        <v>2</v>
      </c>
      <c r="J304" s="2" cm="1">
        <f t="array" ref="J304">+_xlfn.IFS(H304=115,AVERAGE(1.49,1.5,1.05,1.7),H304=150,AVERAGE(1.49,1.5,1.05,1.7),H304=200,AVERAGE(1.15,1.15,0.9,1.3),H304=240,AVERAGE(1.15,1.15,0.9,1.3),H304=90,AVERAGE(1.15,1.15,0.9,1.3))</f>
        <v>1.4350000000000001</v>
      </c>
      <c r="K304" s="1"/>
      <c r="L304" s="2"/>
      <c r="M304" s="20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</row>
    <row r="305" spans="1:138" x14ac:dyDescent="0.3">
      <c r="A305" s="2"/>
      <c r="B305" s="2"/>
      <c r="C305" s="2"/>
      <c r="D305" s="2"/>
      <c r="E305" s="2"/>
      <c r="F305" s="2"/>
      <c r="G305" s="2"/>
      <c r="H305" s="2">
        <v>115</v>
      </c>
      <c r="I305" s="2" cm="1">
        <f t="array" ref="I305">_xlfn.IFS(H305=115,2,H305=150,2,H305=200,1.5,H305=240,1.5,H305=90,2.2)</f>
        <v>2</v>
      </c>
      <c r="J305" s="2" cm="1">
        <f t="array" ref="J305">+_xlfn.IFS(H305=115,AVERAGE(1.49,1.5,1.05,1.7),H305=150,AVERAGE(1.49,1.5,1.05,1.7),H305=200,AVERAGE(1.15,1.15,0.9,1.3),H305=240,AVERAGE(1.15,1.15,0.9,1.3),H305=90,AVERAGE(1.15,1.15,0.9,1.3))</f>
        <v>1.4350000000000001</v>
      </c>
      <c r="K305" s="1"/>
      <c r="L305" s="2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</row>
    <row r="306" spans="1:138" x14ac:dyDescent="0.3">
      <c r="A306" s="2"/>
      <c r="B306" s="2"/>
      <c r="C306" s="2"/>
      <c r="D306" s="2"/>
      <c r="E306" s="2"/>
      <c r="F306" s="2"/>
      <c r="G306" s="2"/>
      <c r="H306" s="2">
        <v>115</v>
      </c>
      <c r="I306" s="2" cm="1">
        <f t="array" ref="I306">_xlfn.IFS(H306=115,2,H306=150,2,H306=200,1.5,H306=240,1.5,H306=90,2.2)</f>
        <v>2</v>
      </c>
      <c r="J306" s="2" cm="1">
        <f t="array" ref="J306">+_xlfn.IFS(H306=115,AVERAGE(1.49,1.5,1.05,1.7),H306=150,AVERAGE(1.49,1.5,1.05,1.7),H306=200,AVERAGE(1.15,1.15,0.9,1.3),H306=240,AVERAGE(1.15,1.15,0.9,1.3),H306=90,AVERAGE(1.15,1.15,0.9,1.3))</f>
        <v>1.4350000000000001</v>
      </c>
      <c r="K306" s="1"/>
      <c r="L306" s="2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</row>
    <row r="307" spans="1:138" x14ac:dyDescent="0.3">
      <c r="A307" s="2"/>
      <c r="B307" s="2"/>
      <c r="C307" s="2"/>
      <c r="D307" s="2"/>
      <c r="E307" s="2"/>
      <c r="F307" s="2"/>
      <c r="G307" s="2"/>
      <c r="H307" s="2">
        <v>115</v>
      </c>
      <c r="I307" s="2" cm="1">
        <f t="array" ref="I307">_xlfn.IFS(H307=115,2,H307=150,2,H307=200,1.5,H307=240,1.5,H307=90,2.2)</f>
        <v>2</v>
      </c>
      <c r="J307" s="2" cm="1">
        <f t="array" ref="J307">+_xlfn.IFS(H307=115,AVERAGE(1.49,1.5,1.05,1.7),H307=150,AVERAGE(1.49,1.5,1.05,1.7),H307=200,AVERAGE(1.15,1.15,0.9,1.3),H307=240,AVERAGE(1.15,1.15,0.9,1.3),H307=90,AVERAGE(1.15,1.15,0.9,1.3))</f>
        <v>1.4350000000000001</v>
      </c>
      <c r="K307" s="1"/>
      <c r="L307" s="2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</row>
    <row r="308" spans="1:138" x14ac:dyDescent="0.3">
      <c r="A308" s="2"/>
      <c r="B308" s="2"/>
      <c r="C308" s="2"/>
      <c r="D308" s="2"/>
      <c r="E308" s="2"/>
      <c r="F308" s="2"/>
      <c r="G308" s="2"/>
      <c r="H308" s="2">
        <v>115</v>
      </c>
      <c r="I308" s="2" cm="1">
        <f t="array" ref="I308">_xlfn.IFS(H308=115,2,H308=150,2,H308=200,1.5,H308=240,1.5,H308=90,2.2)</f>
        <v>2</v>
      </c>
      <c r="J308" s="2" cm="1">
        <f t="array" ref="J308">+_xlfn.IFS(H308=115,AVERAGE(1.49,1.5,1.05,1.7),H308=150,AVERAGE(1.49,1.5,1.05,1.7),H308=200,AVERAGE(1.15,1.15,0.9,1.3),H308=240,AVERAGE(1.15,1.15,0.9,1.3),H308=90,AVERAGE(1.15,1.15,0.9,1.3))</f>
        <v>1.4350000000000001</v>
      </c>
      <c r="K308" s="1"/>
      <c r="L308" s="2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</row>
    <row r="309" spans="1:138" x14ac:dyDescent="0.3">
      <c r="A309" s="1"/>
      <c r="B309" s="1"/>
      <c r="C309" s="1"/>
      <c r="D309" s="1"/>
      <c r="E309" s="1"/>
      <c r="F309" s="1"/>
      <c r="G309" s="1"/>
      <c r="H309" s="1">
        <v>115</v>
      </c>
      <c r="I309" s="1" cm="1">
        <f t="array" ref="I309">_xlfn.IFS(H309=115,2,H309=150,2,H309=200,1.5,H309=240,1.5,H309=90,2.2)</f>
        <v>2</v>
      </c>
      <c r="J309" s="2" cm="1">
        <f t="array" ref="J309">+_xlfn.IFS(H309=115,AVERAGE(1.49,1.5,1.05,1.7),H309=150,AVERAGE(1.49,1.5,1.05,1.7),H309=200,AVERAGE(1.15,1.15,0.9,1.3),H309=240,AVERAGE(1.15,1.15,0.9,1.3),H309=90,AVERAGE(1.15,1.15,0.9,1.3))</f>
        <v>1.4350000000000001</v>
      </c>
      <c r="K309" s="1"/>
      <c r="L309" s="2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</row>
    <row r="310" spans="1:138" x14ac:dyDescent="0.3">
      <c r="L310" s="17"/>
    </row>
  </sheetData>
  <dataValidations count="1">
    <dataValidation type="list" allowBlank="1" showInputMessage="1" showErrorMessage="1" sqref="G12:G163" xr:uid="{2038B8D1-D9DD-4F8C-A4D3-36F2CE8B163B}">
      <formula1>"Propalcote,Kimberley,Couche,Bond,Promalte,Cartulina,Mauller,Autoadhesivo,Emerald,Opalina"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llamartramas">
                <anchor moveWithCells="1" sizeWithCells="1">
                  <from>
                    <xdr:col>5</xdr:col>
                    <xdr:colOff>228600</xdr:colOff>
                    <xdr:row>2</xdr:row>
                    <xdr:rowOff>45720</xdr:rowOff>
                  </from>
                  <to>
                    <xdr:col>11</xdr:col>
                    <xdr:colOff>739140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llamarcontrolnitidez">
                <anchor moveWithCells="1" sizeWithCells="1">
                  <from>
                    <xdr:col>12</xdr:col>
                    <xdr:colOff>487680</xdr:colOff>
                    <xdr:row>2</xdr:row>
                    <xdr:rowOff>45720</xdr:rowOff>
                  </from>
                  <to>
                    <xdr:col>17</xdr:col>
                    <xdr:colOff>510540</xdr:colOff>
                    <xdr:row>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7C53F-682B-4DCC-AAA0-F3DA77F559AF}">
  <sheetPr codeName="Sheet4"/>
  <dimension ref="F9:O19"/>
  <sheetViews>
    <sheetView showGridLines="0" topLeftCell="A4" workbookViewId="0">
      <selection activeCell="Q20" sqref="Q20"/>
    </sheetView>
  </sheetViews>
  <sheetFormatPr defaultRowHeight="14.4" x14ac:dyDescent="0.3"/>
  <cols>
    <col min="6" max="6" width="17.5546875" bestFit="1" customWidth="1"/>
    <col min="7" max="7" width="11.109375" customWidth="1"/>
    <col min="8" max="8" width="11.33203125" customWidth="1"/>
    <col min="9" max="9" width="10.88671875" customWidth="1"/>
    <col min="10" max="10" width="10.21875" customWidth="1"/>
    <col min="11" max="11" width="12.88671875" customWidth="1"/>
    <col min="12" max="12" width="10.44140625" customWidth="1"/>
    <col min="13" max="13" width="10.77734375" customWidth="1"/>
    <col min="14" max="14" width="11.109375" customWidth="1"/>
    <col min="15" max="15" width="10.33203125" customWidth="1"/>
  </cols>
  <sheetData>
    <row r="9" spans="6:15" x14ac:dyDescent="0.3">
      <c r="G9" s="68" t="s">
        <v>57</v>
      </c>
      <c r="H9" s="68"/>
      <c r="I9" s="68"/>
      <c r="J9" s="68"/>
      <c r="K9" s="68"/>
      <c r="L9" s="69" t="s">
        <v>58</v>
      </c>
      <c r="M9" s="69"/>
      <c r="N9" s="69"/>
      <c r="O9" s="69"/>
    </row>
    <row r="10" spans="6:15" ht="43.2" customHeight="1" x14ac:dyDescent="0.3">
      <c r="F10" s="61" t="s">
        <v>52</v>
      </c>
      <c r="G10" s="62" t="s">
        <v>56</v>
      </c>
      <c r="H10" s="62" t="s">
        <v>55</v>
      </c>
      <c r="I10" s="62" t="s">
        <v>53</v>
      </c>
      <c r="J10" s="62" t="s">
        <v>54</v>
      </c>
      <c r="K10" s="62" t="s">
        <v>59</v>
      </c>
      <c r="L10" s="63" t="s">
        <v>56</v>
      </c>
      <c r="M10" s="63" t="s">
        <v>55</v>
      </c>
      <c r="N10" s="63" t="s">
        <v>53</v>
      </c>
      <c r="O10" s="63" t="s">
        <v>54</v>
      </c>
    </row>
    <row r="11" spans="6:15" x14ac:dyDescent="0.3">
      <c r="F11" s="60" t="s">
        <v>43</v>
      </c>
      <c r="G11" s="57">
        <v>0.82</v>
      </c>
      <c r="H11" s="57">
        <v>0.75</v>
      </c>
      <c r="I11" s="57">
        <v>82969</v>
      </c>
      <c r="J11" s="57">
        <v>217</v>
      </c>
      <c r="K11" s="58">
        <v>0.1767</v>
      </c>
      <c r="L11" s="57">
        <v>1.34</v>
      </c>
      <c r="M11" s="57" t="s">
        <v>60</v>
      </c>
      <c r="N11" s="57">
        <v>34602</v>
      </c>
      <c r="O11" s="64">
        <v>0</v>
      </c>
    </row>
    <row r="12" spans="6:15" x14ac:dyDescent="0.3">
      <c r="F12" s="60" t="s">
        <v>44</v>
      </c>
      <c r="G12" s="57">
        <v>0.7</v>
      </c>
      <c r="H12" s="57">
        <v>0.64</v>
      </c>
      <c r="I12" s="57">
        <v>60311</v>
      </c>
      <c r="J12" s="57">
        <v>4337</v>
      </c>
      <c r="K12" s="58">
        <v>0.14349999999999999</v>
      </c>
      <c r="L12" s="65">
        <v>2.66</v>
      </c>
      <c r="M12" s="57" t="s">
        <v>60</v>
      </c>
      <c r="N12" s="64">
        <v>0</v>
      </c>
      <c r="O12" s="64">
        <v>0</v>
      </c>
    </row>
    <row r="13" spans="6:15" x14ac:dyDescent="0.3">
      <c r="F13" s="60" t="s">
        <v>45</v>
      </c>
      <c r="G13" s="59" t="s">
        <v>60</v>
      </c>
      <c r="H13" s="57">
        <v>1.07</v>
      </c>
      <c r="I13" s="57">
        <v>0</v>
      </c>
      <c r="J13" s="57">
        <v>63775</v>
      </c>
      <c r="K13" s="58">
        <v>0.21129999999999999</v>
      </c>
      <c r="L13" s="59">
        <v>0.55000000000000004</v>
      </c>
      <c r="M13" s="57">
        <v>0.42</v>
      </c>
      <c r="N13" s="57">
        <v>65723</v>
      </c>
      <c r="O13" s="57">
        <v>876</v>
      </c>
    </row>
    <row r="14" spans="6:15" x14ac:dyDescent="0.3">
      <c r="F14" s="60" t="s">
        <v>46</v>
      </c>
      <c r="G14" s="59" t="s">
        <v>60</v>
      </c>
      <c r="H14" s="57">
        <v>0.84</v>
      </c>
      <c r="I14" s="57">
        <v>94444</v>
      </c>
      <c r="J14" s="57">
        <v>86</v>
      </c>
      <c r="K14" s="58">
        <v>0.29170000000000001</v>
      </c>
      <c r="L14" s="65">
        <v>2.97</v>
      </c>
      <c r="M14" s="65">
        <v>1.7</v>
      </c>
      <c r="N14" s="64">
        <v>5911</v>
      </c>
      <c r="O14" s="64">
        <v>0</v>
      </c>
    </row>
    <row r="15" spans="6:15" x14ac:dyDescent="0.3">
      <c r="F15" s="60" t="s">
        <v>47</v>
      </c>
      <c r="G15" s="57">
        <v>0.69</v>
      </c>
      <c r="H15" s="57">
        <v>0.51</v>
      </c>
      <c r="I15" s="57">
        <v>305442</v>
      </c>
      <c r="J15" s="57">
        <v>5566</v>
      </c>
      <c r="K15" s="58">
        <v>0.126</v>
      </c>
      <c r="L15" s="57">
        <v>0.87</v>
      </c>
      <c r="M15" s="59" t="s">
        <v>60</v>
      </c>
      <c r="N15" s="57">
        <v>45000</v>
      </c>
      <c r="O15" s="57">
        <v>200</v>
      </c>
    </row>
    <row r="16" spans="6:15" x14ac:dyDescent="0.3">
      <c r="F16" s="60" t="s">
        <v>48</v>
      </c>
      <c r="G16" s="57">
        <v>0.81</v>
      </c>
      <c r="H16" s="57">
        <v>0.67</v>
      </c>
      <c r="I16" s="57">
        <v>78267</v>
      </c>
      <c r="J16" s="57">
        <v>4232</v>
      </c>
      <c r="K16" s="58">
        <v>0.14599999999999999</v>
      </c>
      <c r="L16" s="57">
        <v>1</v>
      </c>
      <c r="M16" s="59" t="s">
        <v>60</v>
      </c>
      <c r="N16" s="57">
        <v>45000</v>
      </c>
      <c r="O16" s="57">
        <v>12</v>
      </c>
    </row>
    <row r="17" spans="6:15" x14ac:dyDescent="0.3">
      <c r="F17" s="60" t="s">
        <v>49</v>
      </c>
      <c r="G17" s="59" t="s">
        <v>60</v>
      </c>
      <c r="H17" s="57">
        <v>0.97</v>
      </c>
      <c r="I17" s="57">
        <v>65361</v>
      </c>
      <c r="J17" s="57">
        <v>0</v>
      </c>
      <c r="K17" s="58">
        <v>0.115</v>
      </c>
      <c r="L17" s="57">
        <v>1.29</v>
      </c>
      <c r="M17" s="57">
        <v>1.0900000000000001</v>
      </c>
      <c r="N17" s="57">
        <v>62000</v>
      </c>
      <c r="O17" s="57">
        <v>0</v>
      </c>
    </row>
    <row r="18" spans="6:15" x14ac:dyDescent="0.3">
      <c r="F18" s="60" t="s">
        <v>50</v>
      </c>
      <c r="G18" s="57">
        <v>0.5</v>
      </c>
      <c r="H18" s="59" t="s">
        <v>60</v>
      </c>
      <c r="I18" s="57">
        <v>185199</v>
      </c>
      <c r="J18" s="59" t="s">
        <v>60</v>
      </c>
      <c r="K18" s="58">
        <v>0.105</v>
      </c>
      <c r="L18" s="65">
        <v>1.59</v>
      </c>
      <c r="M18" s="59" t="s">
        <v>60</v>
      </c>
      <c r="N18" s="64">
        <v>48400</v>
      </c>
      <c r="O18" s="57">
        <v>0</v>
      </c>
    </row>
    <row r="19" spans="6:15" x14ac:dyDescent="0.3">
      <c r="F19" s="60" t="s">
        <v>51</v>
      </c>
      <c r="G19" s="57">
        <v>0.69</v>
      </c>
      <c r="H19" s="59" t="s">
        <v>60</v>
      </c>
      <c r="I19" s="57">
        <v>54995</v>
      </c>
      <c r="J19" s="57">
        <v>5529</v>
      </c>
      <c r="K19" s="58">
        <v>0.11600000000000001</v>
      </c>
      <c r="L19" s="57">
        <v>1.24</v>
      </c>
      <c r="M19" s="59" t="s">
        <v>60</v>
      </c>
      <c r="N19" s="64">
        <v>48</v>
      </c>
      <c r="O19" s="64">
        <v>205</v>
      </c>
    </row>
  </sheetData>
  <mergeCells count="2">
    <mergeCell ref="G9:K9"/>
    <mergeCell ref="L9:O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EDFBE-EE98-476F-9C79-6AE51F33868B}">
  <sheetPr codeName="Sheet2"/>
  <dimension ref="A1:AS529"/>
  <sheetViews>
    <sheetView workbookViewId="0">
      <selection activeCell="G16" sqref="G16"/>
    </sheetView>
  </sheetViews>
  <sheetFormatPr defaultRowHeight="14.4" x14ac:dyDescent="0.3"/>
  <cols>
    <col min="2" max="2" width="10.88671875" bestFit="1" customWidth="1"/>
    <col min="5" max="5" width="10.88671875" bestFit="1" customWidth="1"/>
    <col min="8" max="8" width="10.88671875" bestFit="1" customWidth="1"/>
    <col min="11" max="11" width="10.88671875" bestFit="1" customWidth="1"/>
    <col min="13" max="13" width="8.88671875" style="30"/>
    <col min="14" max="14" width="13.21875" style="33" bestFit="1" customWidth="1"/>
    <col min="15" max="15" width="28.109375" style="33" bestFit="1" customWidth="1"/>
    <col min="16" max="16" width="22" style="33" bestFit="1" customWidth="1"/>
  </cols>
  <sheetData>
    <row r="1" spans="1:45" x14ac:dyDescent="0.3">
      <c r="A1" s="7"/>
      <c r="B1" s="7" t="s">
        <v>8</v>
      </c>
      <c r="C1" s="7"/>
      <c r="D1" s="7"/>
      <c r="E1" s="7" t="s">
        <v>9</v>
      </c>
      <c r="F1" s="7"/>
      <c r="G1" s="7"/>
      <c r="H1" s="7" t="s">
        <v>10</v>
      </c>
      <c r="I1" s="7"/>
      <c r="J1" s="7"/>
      <c r="K1" s="7" t="s">
        <v>11</v>
      </c>
      <c r="L1" s="7"/>
      <c r="M1" s="70" t="s">
        <v>34</v>
      </c>
      <c r="N1" s="71"/>
      <c r="O1" s="71"/>
      <c r="P1" s="72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</row>
    <row r="2" spans="1:45" x14ac:dyDescent="0.3">
      <c r="A2" s="9" t="s">
        <v>12</v>
      </c>
      <c r="B2" s="9" t="s">
        <v>13</v>
      </c>
      <c r="C2" s="9" t="s">
        <v>14</v>
      </c>
      <c r="D2" s="12" t="s">
        <v>12</v>
      </c>
      <c r="E2" s="12" t="s">
        <v>13</v>
      </c>
      <c r="F2" s="12" t="s">
        <v>14</v>
      </c>
      <c r="G2" s="13" t="s">
        <v>12</v>
      </c>
      <c r="H2" s="13" t="s">
        <v>13</v>
      </c>
      <c r="I2" s="13" t="s">
        <v>14</v>
      </c>
      <c r="J2" s="14" t="s">
        <v>12</v>
      </c>
      <c r="K2" s="14" t="s">
        <v>13</v>
      </c>
      <c r="L2" s="27" t="s">
        <v>14</v>
      </c>
      <c r="M2" s="31" t="s">
        <v>31</v>
      </c>
      <c r="N2" s="37" t="s">
        <v>32</v>
      </c>
      <c r="O2" s="37" t="s">
        <v>35</v>
      </c>
      <c r="P2" s="37" t="s">
        <v>33</v>
      </c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</row>
    <row r="3" spans="1:45" x14ac:dyDescent="0.3">
      <c r="A3" s="9"/>
      <c r="B3" s="9"/>
      <c r="C3" s="9"/>
      <c r="D3" s="12"/>
      <c r="E3" s="12"/>
      <c r="F3" s="12"/>
      <c r="G3" s="13"/>
      <c r="H3" s="13"/>
      <c r="I3" s="13"/>
      <c r="J3" s="14"/>
      <c r="K3" s="14"/>
      <c r="L3" s="27"/>
      <c r="M3" s="29"/>
      <c r="N3" s="35"/>
      <c r="O3" s="36"/>
      <c r="P3" s="32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</row>
    <row r="4" spans="1:45" x14ac:dyDescent="0.3">
      <c r="A4" s="9"/>
      <c r="B4" s="9"/>
      <c r="C4" s="9"/>
      <c r="D4" s="12"/>
      <c r="E4" s="12"/>
      <c r="F4" s="12"/>
      <c r="G4" s="13"/>
      <c r="H4" s="13"/>
      <c r="I4" s="13"/>
      <c r="J4" s="14"/>
      <c r="K4" s="14"/>
      <c r="L4" s="27"/>
      <c r="M4" s="29"/>
      <c r="N4" s="32"/>
      <c r="O4" s="32"/>
      <c r="P4" s="32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</row>
    <row r="5" spans="1:45" x14ac:dyDescent="0.3">
      <c r="A5" s="9"/>
      <c r="B5" s="9"/>
      <c r="C5" s="9"/>
      <c r="D5" s="12"/>
      <c r="E5" s="12"/>
      <c r="F5" s="12"/>
      <c r="G5" s="13"/>
      <c r="H5" s="13"/>
      <c r="I5" s="13"/>
      <c r="J5" s="14"/>
      <c r="K5" s="14"/>
      <c r="L5" s="27"/>
      <c r="M5" s="29"/>
      <c r="N5" s="32"/>
      <c r="O5" s="32"/>
      <c r="P5" s="32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</row>
    <row r="6" spans="1:45" x14ac:dyDescent="0.3">
      <c r="A6" s="9"/>
      <c r="B6" s="9"/>
      <c r="C6" s="9"/>
      <c r="D6" s="12"/>
      <c r="E6" s="12"/>
      <c r="F6" s="12"/>
      <c r="G6" s="13"/>
      <c r="H6" s="13"/>
      <c r="I6" s="13"/>
      <c r="J6" s="14"/>
      <c r="K6" s="14"/>
      <c r="L6" s="27"/>
      <c r="M6" s="29"/>
      <c r="N6" s="32"/>
      <c r="O6" s="32"/>
      <c r="P6" s="32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</row>
    <row r="7" spans="1:45" x14ac:dyDescent="0.3">
      <c r="A7" s="9"/>
      <c r="B7" s="9"/>
      <c r="C7" s="9"/>
      <c r="D7" s="12"/>
      <c r="E7" s="12"/>
      <c r="F7" s="12"/>
      <c r="G7" s="13"/>
      <c r="H7" s="13"/>
      <c r="I7" s="13"/>
      <c r="J7" s="14"/>
      <c r="K7" s="14"/>
      <c r="L7" s="27"/>
      <c r="M7" s="29"/>
      <c r="N7" s="32"/>
      <c r="O7" s="32"/>
      <c r="P7" s="32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</row>
    <row r="8" spans="1:45" x14ac:dyDescent="0.3">
      <c r="A8" s="9"/>
      <c r="B8" s="9"/>
      <c r="C8" s="9"/>
      <c r="D8" s="12"/>
      <c r="E8" s="12"/>
      <c r="F8" s="12"/>
      <c r="G8" s="13"/>
      <c r="H8" s="13"/>
      <c r="I8" s="13"/>
      <c r="J8" s="14"/>
      <c r="K8" s="14"/>
      <c r="L8" s="27"/>
      <c r="M8" s="29"/>
      <c r="N8" s="32"/>
      <c r="O8" s="32"/>
      <c r="P8" s="32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45" x14ac:dyDescent="0.3">
      <c r="A9" s="9"/>
      <c r="B9" s="9"/>
      <c r="C9" s="9"/>
      <c r="D9" s="12"/>
      <c r="E9" s="12"/>
      <c r="F9" s="12"/>
      <c r="G9" s="13"/>
      <c r="H9" s="13"/>
      <c r="I9" s="13"/>
      <c r="J9" s="14"/>
      <c r="K9" s="14"/>
      <c r="L9" s="27"/>
      <c r="M9" s="29"/>
      <c r="N9" s="32"/>
      <c r="O9" s="32"/>
      <c r="P9" s="32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45" x14ac:dyDescent="0.3">
      <c r="A10" s="9"/>
      <c r="B10" s="9"/>
      <c r="C10" s="9"/>
      <c r="D10" s="12"/>
      <c r="E10" s="12"/>
      <c r="F10" s="12"/>
      <c r="G10" s="13"/>
      <c r="H10" s="13"/>
      <c r="I10" s="13"/>
      <c r="J10" s="14"/>
      <c r="K10" s="14"/>
      <c r="L10" s="27"/>
      <c r="M10" s="29"/>
      <c r="N10" s="32"/>
      <c r="O10" s="32"/>
      <c r="P10" s="32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</row>
    <row r="11" spans="1:45" x14ac:dyDescent="0.3">
      <c r="A11" s="9"/>
      <c r="B11" s="9"/>
      <c r="C11" s="9"/>
      <c r="D11" s="12"/>
      <c r="E11" s="12"/>
      <c r="F11" s="12"/>
      <c r="G11" s="13"/>
      <c r="H11" s="13"/>
      <c r="I11" s="13"/>
      <c r="J11" s="14"/>
      <c r="K11" s="14"/>
      <c r="L11" s="27"/>
      <c r="M11" s="29"/>
      <c r="N11" s="32"/>
      <c r="O11" s="32"/>
      <c r="P11" s="32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</row>
    <row r="12" spans="1:45" x14ac:dyDescent="0.3">
      <c r="A12" s="9"/>
      <c r="B12" s="9"/>
      <c r="C12" s="9"/>
      <c r="D12" s="12"/>
      <c r="E12" s="12"/>
      <c r="F12" s="12"/>
      <c r="G12" s="13"/>
      <c r="H12" s="13"/>
      <c r="I12" s="13"/>
      <c r="J12" s="14"/>
      <c r="K12" s="14"/>
      <c r="L12" s="27"/>
      <c r="M12" s="29"/>
      <c r="N12" s="32"/>
      <c r="O12" s="32"/>
      <c r="P12" s="32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</row>
    <row r="13" spans="1:45" x14ac:dyDescent="0.3">
      <c r="A13" s="9"/>
      <c r="B13" s="9"/>
      <c r="C13" s="9"/>
      <c r="D13" s="12"/>
      <c r="E13" s="12"/>
      <c r="F13" s="12"/>
      <c r="G13" s="13"/>
      <c r="H13" s="13"/>
      <c r="I13" s="13"/>
      <c r="J13" s="14"/>
      <c r="K13" s="14"/>
      <c r="L13" s="27"/>
      <c r="M13" s="29"/>
      <c r="N13" s="32"/>
      <c r="O13" s="32"/>
      <c r="P13" s="32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</row>
    <row r="14" spans="1:45" x14ac:dyDescent="0.3">
      <c r="A14" s="9"/>
      <c r="B14" s="9"/>
      <c r="C14" s="9"/>
      <c r="D14" s="12"/>
      <c r="E14" s="12"/>
      <c r="F14" s="12"/>
      <c r="G14" s="13"/>
      <c r="H14" s="13"/>
      <c r="I14" s="13"/>
      <c r="J14" s="14"/>
      <c r="K14" s="14"/>
      <c r="L14" s="27"/>
      <c r="M14" s="29"/>
      <c r="N14" s="32"/>
      <c r="O14" s="32"/>
      <c r="P14" s="32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</row>
    <row r="15" spans="1:45" x14ac:dyDescent="0.3">
      <c r="A15" s="9"/>
      <c r="B15" s="9"/>
      <c r="C15" s="9"/>
      <c r="D15" s="12"/>
      <c r="E15" s="12"/>
      <c r="F15" s="12"/>
      <c r="G15" s="13"/>
      <c r="H15" s="13"/>
      <c r="I15" s="13"/>
      <c r="J15" s="14"/>
      <c r="K15" s="14"/>
      <c r="L15" s="27"/>
      <c r="M15" s="29"/>
      <c r="N15" s="32"/>
      <c r="O15" s="32"/>
      <c r="P15" s="32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</row>
    <row r="16" spans="1:45" x14ac:dyDescent="0.3">
      <c r="A16" s="9"/>
      <c r="B16" s="9"/>
      <c r="C16" s="9"/>
      <c r="D16" s="12"/>
      <c r="E16" s="12"/>
      <c r="F16" s="12"/>
      <c r="G16" s="13"/>
      <c r="H16" s="13"/>
      <c r="I16" s="13"/>
      <c r="J16" s="14"/>
      <c r="K16" s="14"/>
      <c r="L16" s="27"/>
      <c r="M16" s="29"/>
      <c r="N16" s="32"/>
      <c r="O16" s="32"/>
      <c r="P16" s="32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</row>
    <row r="17" spans="1:45" x14ac:dyDescent="0.3">
      <c r="A17" s="9"/>
      <c r="B17" s="9"/>
      <c r="C17" s="9"/>
      <c r="D17" s="12"/>
      <c r="E17" s="12"/>
      <c r="F17" s="12"/>
      <c r="G17" s="13"/>
      <c r="H17" s="13"/>
      <c r="I17" s="13"/>
      <c r="J17" s="14"/>
      <c r="K17" s="14"/>
      <c r="L17" s="27"/>
      <c r="M17" s="29"/>
      <c r="N17" s="32"/>
      <c r="O17" s="32"/>
      <c r="P17" s="32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</row>
    <row r="18" spans="1:45" x14ac:dyDescent="0.3">
      <c r="A18" s="9"/>
      <c r="B18" s="9"/>
      <c r="C18" s="9"/>
      <c r="D18" s="12"/>
      <c r="E18" s="12"/>
      <c r="F18" s="12"/>
      <c r="G18" s="13"/>
      <c r="H18" s="13"/>
      <c r="I18" s="13"/>
      <c r="J18" s="14"/>
      <c r="K18" s="14"/>
      <c r="L18" s="27"/>
      <c r="M18" s="29"/>
      <c r="N18" s="35"/>
      <c r="O18" s="34"/>
      <c r="P18" s="32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</row>
    <row r="19" spans="1:45" x14ac:dyDescent="0.3">
      <c r="A19" s="9"/>
      <c r="B19" s="9"/>
      <c r="C19" s="9"/>
      <c r="D19" s="12"/>
      <c r="E19" s="12"/>
      <c r="F19" s="12"/>
      <c r="G19" s="13"/>
      <c r="H19" s="13"/>
      <c r="I19" s="13"/>
      <c r="J19" s="14"/>
      <c r="K19" s="14"/>
      <c r="L19" s="27"/>
      <c r="M19" s="29"/>
      <c r="N19" s="32"/>
      <c r="O19" s="32"/>
      <c r="P19" s="32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</row>
    <row r="20" spans="1:45" x14ac:dyDescent="0.3">
      <c r="A20" s="9"/>
      <c r="B20" s="9"/>
      <c r="C20" s="9"/>
      <c r="D20" s="12"/>
      <c r="E20" s="12"/>
      <c r="F20" s="12"/>
      <c r="G20" s="13"/>
      <c r="H20" s="13"/>
      <c r="I20" s="13"/>
      <c r="J20" s="14"/>
      <c r="K20" s="14"/>
      <c r="L20" s="27"/>
      <c r="M20" s="29"/>
      <c r="N20" s="32"/>
      <c r="O20" s="32"/>
      <c r="P20" s="32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</row>
    <row r="21" spans="1:45" x14ac:dyDescent="0.3">
      <c r="A21" s="9"/>
      <c r="B21" s="9"/>
      <c r="C21" s="9"/>
      <c r="D21" s="12"/>
      <c r="E21" s="12"/>
      <c r="F21" s="12"/>
      <c r="G21" s="13"/>
      <c r="H21" s="13"/>
      <c r="I21" s="13"/>
      <c r="J21" s="14"/>
      <c r="K21" s="14"/>
      <c r="L21" s="27"/>
      <c r="M21" s="29"/>
      <c r="N21" s="32"/>
      <c r="O21" s="32"/>
      <c r="P21" s="32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</row>
    <row r="22" spans="1:45" x14ac:dyDescent="0.3">
      <c r="A22" s="9"/>
      <c r="B22" s="9"/>
      <c r="C22" s="9"/>
      <c r="D22" s="12"/>
      <c r="E22" s="12"/>
      <c r="F22" s="12"/>
      <c r="G22" s="13"/>
      <c r="H22" s="13"/>
      <c r="I22" s="13"/>
      <c r="J22" s="14"/>
      <c r="K22" s="14"/>
      <c r="L22" s="27"/>
      <c r="M22" s="29"/>
      <c r="N22" s="32"/>
      <c r="O22" s="32"/>
      <c r="P22" s="32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</row>
    <row r="23" spans="1:45" x14ac:dyDescent="0.3">
      <c r="A23" s="9"/>
      <c r="B23" s="9"/>
      <c r="C23" s="9"/>
      <c r="D23" s="12"/>
      <c r="E23" s="12"/>
      <c r="F23" s="12"/>
      <c r="G23" s="13"/>
      <c r="H23" s="13"/>
      <c r="I23" s="13"/>
      <c r="J23" s="14"/>
      <c r="K23" s="14"/>
      <c r="L23" s="27"/>
      <c r="M23" s="29"/>
      <c r="N23" s="32"/>
      <c r="O23" s="32"/>
      <c r="P23" s="32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</row>
    <row r="24" spans="1:45" x14ac:dyDescent="0.3">
      <c r="A24" s="15"/>
      <c r="B24" s="15"/>
      <c r="C24" s="15"/>
      <c r="D24" s="12"/>
      <c r="E24" s="12"/>
      <c r="F24" s="12"/>
      <c r="G24" s="13"/>
      <c r="H24" s="13"/>
      <c r="I24" s="13"/>
      <c r="J24" s="14"/>
      <c r="K24" s="14"/>
      <c r="L24" s="27"/>
      <c r="M24" s="29"/>
      <c r="N24" s="32"/>
      <c r="O24" s="32"/>
      <c r="P24" s="32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</row>
    <row r="25" spans="1:45" x14ac:dyDescent="0.3">
      <c r="A25" s="15"/>
      <c r="B25" s="15"/>
      <c r="C25" s="15"/>
      <c r="D25" s="12"/>
      <c r="E25" s="12"/>
      <c r="F25" s="12"/>
      <c r="G25" s="13"/>
      <c r="H25" s="13"/>
      <c r="I25" s="13"/>
      <c r="J25" s="14"/>
      <c r="K25" s="14"/>
      <c r="L25" s="27"/>
      <c r="M25" s="29"/>
      <c r="N25" s="32"/>
      <c r="O25" s="32"/>
      <c r="P25" s="32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</row>
    <row r="26" spans="1:45" x14ac:dyDescent="0.3">
      <c r="A26" s="15"/>
      <c r="B26" s="15"/>
      <c r="C26" s="15"/>
      <c r="D26" s="12"/>
      <c r="E26" s="12"/>
      <c r="F26" s="12"/>
      <c r="G26" s="13"/>
      <c r="H26" s="13"/>
      <c r="I26" s="13"/>
      <c r="J26" s="14"/>
      <c r="K26" s="14"/>
      <c r="L26" s="27"/>
      <c r="M26" s="29"/>
      <c r="N26" s="32"/>
      <c r="O26" s="32"/>
      <c r="P26" s="32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</row>
    <row r="27" spans="1:45" x14ac:dyDescent="0.3">
      <c r="A27" s="15"/>
      <c r="B27" s="15"/>
      <c r="C27" s="15"/>
      <c r="D27" s="12"/>
      <c r="E27" s="12"/>
      <c r="F27" s="12"/>
      <c r="G27" s="13"/>
      <c r="H27" s="13"/>
      <c r="I27" s="13"/>
      <c r="J27" s="14"/>
      <c r="K27" s="14"/>
      <c r="L27" s="27"/>
      <c r="M27" s="29"/>
      <c r="N27" s="32"/>
      <c r="O27" s="32"/>
      <c r="P27" s="32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</row>
    <row r="28" spans="1:45" x14ac:dyDescent="0.3">
      <c r="A28" s="15"/>
      <c r="B28" s="15"/>
      <c r="C28" s="15"/>
      <c r="D28" s="12"/>
      <c r="E28" s="12"/>
      <c r="F28" s="12"/>
      <c r="G28" s="13"/>
      <c r="H28" s="13"/>
      <c r="I28" s="13"/>
      <c r="J28" s="14"/>
      <c r="K28" s="14"/>
      <c r="L28" s="27"/>
      <c r="M28" s="29"/>
      <c r="N28" s="32"/>
      <c r="O28" s="32"/>
      <c r="P28" s="32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</row>
    <row r="29" spans="1:45" x14ac:dyDescent="0.3">
      <c r="A29" s="15"/>
      <c r="B29" s="15"/>
      <c r="C29" s="15"/>
      <c r="D29" s="12"/>
      <c r="E29" s="12"/>
      <c r="F29" s="12"/>
      <c r="G29" s="13"/>
      <c r="H29" s="13"/>
      <c r="I29" s="13"/>
      <c r="J29" s="14"/>
      <c r="K29" s="14"/>
      <c r="L29" s="27"/>
      <c r="M29" s="29"/>
      <c r="N29" s="32"/>
      <c r="O29" s="32"/>
      <c r="P29" s="32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</row>
    <row r="30" spans="1:45" x14ac:dyDescent="0.3">
      <c r="A30" s="15"/>
      <c r="B30" s="15"/>
      <c r="C30" s="15"/>
      <c r="D30" s="12"/>
      <c r="E30" s="12"/>
      <c r="F30" s="12"/>
      <c r="G30" s="13"/>
      <c r="H30" s="13"/>
      <c r="I30" s="13"/>
      <c r="J30" s="14"/>
      <c r="K30" s="14"/>
      <c r="L30" s="27"/>
      <c r="M30" s="29"/>
      <c r="N30" s="32"/>
      <c r="O30" s="32"/>
      <c r="P30" s="32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</row>
    <row r="31" spans="1:45" x14ac:dyDescent="0.3">
      <c r="A31" s="15"/>
      <c r="B31" s="15"/>
      <c r="C31" s="15"/>
      <c r="D31" s="12"/>
      <c r="E31" s="12"/>
      <c r="F31" s="12"/>
      <c r="G31" s="13"/>
      <c r="H31" s="13"/>
      <c r="I31" s="13"/>
      <c r="J31" s="14"/>
      <c r="K31" s="14"/>
      <c r="L31" s="27"/>
      <c r="M31" s="29"/>
      <c r="N31" s="32"/>
      <c r="O31" s="32"/>
      <c r="P31" s="32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</row>
    <row r="32" spans="1:45" x14ac:dyDescent="0.3">
      <c r="A32" s="15"/>
      <c r="B32" s="15"/>
      <c r="C32" s="15"/>
      <c r="D32" s="12"/>
      <c r="E32" s="12"/>
      <c r="F32" s="12"/>
      <c r="G32" s="13"/>
      <c r="H32" s="13"/>
      <c r="I32" s="13"/>
      <c r="J32" s="14"/>
      <c r="K32" s="14"/>
      <c r="L32" s="27"/>
      <c r="M32" s="29"/>
      <c r="N32" s="32"/>
      <c r="O32" s="32"/>
      <c r="P32" s="32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</row>
    <row r="33" spans="1:45" x14ac:dyDescent="0.3">
      <c r="A33" s="15"/>
      <c r="B33" s="15"/>
      <c r="C33" s="15"/>
      <c r="D33" s="12"/>
      <c r="E33" s="12"/>
      <c r="F33" s="12"/>
      <c r="G33" s="13"/>
      <c r="H33" s="13"/>
      <c r="I33" s="13"/>
      <c r="J33" s="14"/>
      <c r="K33" s="14"/>
      <c r="L33" s="27"/>
      <c r="M33" s="29"/>
      <c r="N33" s="32"/>
      <c r="O33" s="32"/>
      <c r="P33" s="32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</row>
    <row r="34" spans="1:45" x14ac:dyDescent="0.3">
      <c r="A34" s="15"/>
      <c r="B34" s="15"/>
      <c r="C34" s="15"/>
      <c r="D34" s="12"/>
      <c r="E34" s="12"/>
      <c r="F34" s="12"/>
      <c r="G34" s="13"/>
      <c r="H34" s="13"/>
      <c r="I34" s="13"/>
      <c r="J34" s="14"/>
      <c r="K34" s="14"/>
      <c r="L34" s="27"/>
      <c r="M34" s="29"/>
      <c r="N34" s="32"/>
      <c r="O34" s="32"/>
      <c r="P34" s="32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</row>
    <row r="35" spans="1:45" x14ac:dyDescent="0.3">
      <c r="A35" s="15"/>
      <c r="B35" s="15"/>
      <c r="C35" s="15"/>
      <c r="D35" s="12"/>
      <c r="E35" s="12"/>
      <c r="F35" s="12"/>
      <c r="G35" s="13"/>
      <c r="H35" s="13"/>
      <c r="I35" s="13"/>
      <c r="J35" s="14"/>
      <c r="K35" s="14"/>
      <c r="L35" s="27"/>
      <c r="M35" s="29"/>
      <c r="N35" s="32"/>
      <c r="O35" s="32"/>
      <c r="P35" s="32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</row>
    <row r="36" spans="1:45" x14ac:dyDescent="0.3">
      <c r="A36" s="15"/>
      <c r="B36" s="15"/>
      <c r="C36" s="15"/>
      <c r="D36" s="12"/>
      <c r="E36" s="12"/>
      <c r="F36" s="12"/>
      <c r="G36" s="13"/>
      <c r="H36" s="13"/>
      <c r="I36" s="13"/>
      <c r="J36" s="14"/>
      <c r="K36" s="14"/>
      <c r="L36" s="27"/>
      <c r="M36" s="29"/>
      <c r="N36" s="32"/>
      <c r="O36" s="32"/>
      <c r="P36" s="32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</row>
    <row r="37" spans="1:45" x14ac:dyDescent="0.3">
      <c r="A37" s="15"/>
      <c r="B37" s="15"/>
      <c r="C37" s="15"/>
      <c r="D37" s="12"/>
      <c r="E37" s="12"/>
      <c r="F37" s="12"/>
      <c r="G37" s="13"/>
      <c r="H37" s="13"/>
      <c r="I37" s="13"/>
      <c r="J37" s="14"/>
      <c r="K37" s="14"/>
      <c r="L37" s="27"/>
      <c r="M37" s="29"/>
      <c r="N37" s="32"/>
      <c r="O37" s="32"/>
      <c r="P37" s="32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</row>
    <row r="38" spans="1:45" x14ac:dyDescent="0.3">
      <c r="A38" s="15"/>
      <c r="B38" s="15"/>
      <c r="C38" s="15"/>
      <c r="D38" s="12"/>
      <c r="E38" s="12"/>
      <c r="F38" s="12"/>
      <c r="G38" s="13"/>
      <c r="H38" s="13"/>
      <c r="I38" s="13"/>
      <c r="J38" s="14"/>
      <c r="K38" s="14"/>
      <c r="L38" s="27"/>
      <c r="M38" s="29"/>
      <c r="N38" s="32"/>
      <c r="O38" s="32"/>
      <c r="P38" s="32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</row>
    <row r="39" spans="1:45" x14ac:dyDescent="0.3">
      <c r="A39" s="15"/>
      <c r="B39" s="15"/>
      <c r="C39" s="15"/>
      <c r="D39" s="12"/>
      <c r="E39" s="12"/>
      <c r="F39" s="12"/>
      <c r="G39" s="13"/>
      <c r="H39" s="13"/>
      <c r="I39" s="13"/>
      <c r="J39" s="14"/>
      <c r="K39" s="14"/>
      <c r="L39" s="27"/>
      <c r="M39" s="29"/>
      <c r="N39" s="32"/>
      <c r="O39" s="32"/>
      <c r="P39" s="32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</row>
    <row r="40" spans="1:45" x14ac:dyDescent="0.3">
      <c r="A40" s="15"/>
      <c r="B40" s="15"/>
      <c r="C40" s="15"/>
      <c r="D40" s="12"/>
      <c r="E40" s="12"/>
      <c r="F40" s="12"/>
      <c r="G40" s="13"/>
      <c r="H40" s="13"/>
      <c r="I40" s="13"/>
      <c r="J40" s="14"/>
      <c r="K40" s="14"/>
      <c r="L40" s="27"/>
      <c r="M40" s="29"/>
      <c r="N40" s="32"/>
      <c r="O40" s="32"/>
      <c r="P40" s="32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</row>
    <row r="41" spans="1:45" x14ac:dyDescent="0.3">
      <c r="A41" s="15"/>
      <c r="B41" s="15"/>
      <c r="C41" s="15"/>
      <c r="D41" s="12"/>
      <c r="E41" s="12"/>
      <c r="F41" s="12"/>
      <c r="G41" s="13"/>
      <c r="H41" s="13"/>
      <c r="I41" s="13"/>
      <c r="J41" s="14"/>
      <c r="K41" s="14"/>
      <c r="L41" s="27"/>
      <c r="M41" s="29"/>
      <c r="N41" s="32"/>
      <c r="O41" s="32"/>
      <c r="P41" s="32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</row>
    <row r="42" spans="1:45" x14ac:dyDescent="0.3">
      <c r="A42" s="15"/>
      <c r="B42" s="15"/>
      <c r="C42" s="15"/>
      <c r="D42" s="12"/>
      <c r="E42" s="12"/>
      <c r="F42" s="12"/>
      <c r="G42" s="13"/>
      <c r="H42" s="13"/>
      <c r="I42" s="13"/>
      <c r="J42" s="14"/>
      <c r="K42" s="14"/>
      <c r="L42" s="27"/>
      <c r="M42" s="29"/>
      <c r="N42" s="32"/>
      <c r="O42" s="32"/>
      <c r="P42" s="32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</row>
    <row r="43" spans="1:45" x14ac:dyDescent="0.3">
      <c r="A43" s="15"/>
      <c r="B43" s="15"/>
      <c r="C43" s="15"/>
      <c r="D43" s="12"/>
      <c r="E43" s="12"/>
      <c r="F43" s="12"/>
      <c r="G43" s="13"/>
      <c r="H43" s="13"/>
      <c r="I43" s="13"/>
      <c r="J43" s="14"/>
      <c r="K43" s="14"/>
      <c r="L43" s="27"/>
      <c r="M43" s="29"/>
      <c r="N43" s="32"/>
      <c r="O43" s="32"/>
      <c r="P43" s="32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</row>
    <row r="44" spans="1:45" x14ac:dyDescent="0.3">
      <c r="A44" s="15"/>
      <c r="B44" s="15"/>
      <c r="C44" s="15"/>
      <c r="D44" s="12"/>
      <c r="E44" s="12"/>
      <c r="F44" s="12"/>
      <c r="G44" s="13"/>
      <c r="H44" s="13"/>
      <c r="I44" s="13"/>
      <c r="J44" s="14"/>
      <c r="K44" s="14"/>
      <c r="L44" s="27"/>
      <c r="M44" s="29"/>
      <c r="N44" s="32"/>
      <c r="O44" s="32"/>
      <c r="P44" s="32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</row>
    <row r="45" spans="1:45" x14ac:dyDescent="0.3">
      <c r="A45" s="15"/>
      <c r="B45" s="15"/>
      <c r="C45" s="15"/>
      <c r="D45" s="12"/>
      <c r="E45" s="12"/>
      <c r="F45" s="12"/>
      <c r="G45" s="13"/>
      <c r="H45" s="13"/>
      <c r="I45" s="13"/>
      <c r="J45" s="14"/>
      <c r="K45" s="14"/>
      <c r="L45" s="27"/>
      <c r="M45" s="29"/>
      <c r="N45" s="32"/>
      <c r="O45" s="32"/>
      <c r="P45" s="32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</row>
    <row r="46" spans="1:45" x14ac:dyDescent="0.3">
      <c r="A46" s="15"/>
      <c r="B46" s="15"/>
      <c r="C46" s="15"/>
      <c r="D46" s="12"/>
      <c r="E46" s="12"/>
      <c r="F46" s="12"/>
      <c r="G46" s="13"/>
      <c r="H46" s="13"/>
      <c r="I46" s="13"/>
      <c r="J46" s="14"/>
      <c r="K46" s="14"/>
      <c r="L46" s="27"/>
      <c r="M46" s="29"/>
      <c r="N46" s="32"/>
      <c r="O46" s="32"/>
      <c r="P46" s="32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</row>
    <row r="47" spans="1:45" x14ac:dyDescent="0.3">
      <c r="A47" s="15"/>
      <c r="B47" s="15"/>
      <c r="C47" s="15"/>
      <c r="D47" s="12"/>
      <c r="E47" s="12"/>
      <c r="F47" s="12"/>
      <c r="G47" s="13"/>
      <c r="H47" s="13"/>
      <c r="I47" s="13"/>
      <c r="J47" s="14"/>
      <c r="K47" s="14"/>
      <c r="L47" s="27"/>
      <c r="M47" s="29"/>
      <c r="N47" s="32"/>
      <c r="O47" s="32"/>
      <c r="P47" s="3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</row>
    <row r="48" spans="1:45" x14ac:dyDescent="0.3">
      <c r="A48" s="15"/>
      <c r="B48" s="15"/>
      <c r="C48" s="15"/>
      <c r="D48" s="12"/>
      <c r="E48" s="12"/>
      <c r="F48" s="12"/>
      <c r="G48" s="13"/>
      <c r="H48" s="13"/>
      <c r="I48" s="13"/>
      <c r="J48" s="14"/>
      <c r="K48" s="14"/>
      <c r="L48" s="27"/>
      <c r="M48" s="29"/>
      <c r="N48" s="32"/>
      <c r="O48" s="32"/>
      <c r="P48" s="32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</row>
    <row r="49" spans="1:45" x14ac:dyDescent="0.3">
      <c r="A49" s="15"/>
      <c r="B49" s="15"/>
      <c r="C49" s="15"/>
      <c r="D49" s="12"/>
      <c r="E49" s="12"/>
      <c r="F49" s="12"/>
      <c r="G49" s="13"/>
      <c r="H49" s="13"/>
      <c r="I49" s="13"/>
      <c r="J49" s="14"/>
      <c r="K49" s="14"/>
      <c r="L49" s="27"/>
      <c r="M49" s="29"/>
      <c r="N49" s="32"/>
      <c r="O49" s="32"/>
      <c r="P49" s="32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</row>
    <row r="50" spans="1:45" x14ac:dyDescent="0.3">
      <c r="A50" s="15"/>
      <c r="B50" s="15"/>
      <c r="C50" s="15"/>
      <c r="D50" s="12"/>
      <c r="E50" s="12"/>
      <c r="F50" s="12"/>
      <c r="G50" s="13"/>
      <c r="H50" s="13"/>
      <c r="I50" s="13"/>
      <c r="J50" s="14"/>
      <c r="K50" s="14"/>
      <c r="L50" s="27"/>
      <c r="M50" s="29"/>
      <c r="N50" s="32"/>
      <c r="O50" s="32"/>
      <c r="P50" s="32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</row>
    <row r="51" spans="1:45" x14ac:dyDescent="0.3">
      <c r="A51" s="15"/>
      <c r="B51" s="15"/>
      <c r="C51" s="15"/>
      <c r="D51" s="12"/>
      <c r="E51" s="12"/>
      <c r="F51" s="12"/>
      <c r="G51" s="13"/>
      <c r="H51" s="13"/>
      <c r="I51" s="13"/>
      <c r="J51" s="14"/>
      <c r="K51" s="14"/>
      <c r="L51" s="27"/>
      <c r="M51" s="29"/>
      <c r="N51" s="32"/>
      <c r="O51" s="32"/>
      <c r="P51" s="32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</row>
    <row r="52" spans="1:45" x14ac:dyDescent="0.3">
      <c r="A52" s="15"/>
      <c r="B52" s="15"/>
      <c r="C52" s="15"/>
      <c r="D52" s="12"/>
      <c r="E52" s="12"/>
      <c r="F52" s="12"/>
      <c r="G52" s="13"/>
      <c r="H52" s="13"/>
      <c r="I52" s="13"/>
      <c r="J52" s="14"/>
      <c r="K52" s="14"/>
      <c r="L52" s="27"/>
      <c r="M52" s="29"/>
      <c r="N52" s="32"/>
      <c r="O52" s="32"/>
      <c r="P52" s="32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</row>
    <row r="53" spans="1:45" x14ac:dyDescent="0.3">
      <c r="A53" s="15"/>
      <c r="B53" s="15"/>
      <c r="C53" s="15"/>
      <c r="D53" s="12"/>
      <c r="E53" s="12"/>
      <c r="F53" s="12"/>
      <c r="G53" s="13"/>
      <c r="H53" s="13"/>
      <c r="I53" s="13"/>
      <c r="J53" s="14"/>
      <c r="K53" s="14"/>
      <c r="L53" s="27"/>
      <c r="M53" s="29"/>
      <c r="N53" s="32"/>
      <c r="O53" s="32"/>
      <c r="P53" s="32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</row>
    <row r="54" spans="1:45" x14ac:dyDescent="0.3">
      <c r="A54" s="15"/>
      <c r="B54" s="15"/>
      <c r="C54" s="15"/>
      <c r="D54" s="12"/>
      <c r="E54" s="12"/>
      <c r="F54" s="12"/>
      <c r="G54" s="13"/>
      <c r="H54" s="13"/>
      <c r="I54" s="13"/>
      <c r="J54" s="14"/>
      <c r="K54" s="14"/>
      <c r="L54" s="27"/>
      <c r="M54" s="29"/>
      <c r="N54" s="32"/>
      <c r="O54" s="32"/>
      <c r="P54" s="32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</row>
    <row r="55" spans="1:45" x14ac:dyDescent="0.3">
      <c r="A55" s="15"/>
      <c r="B55" s="15"/>
      <c r="C55" s="15"/>
      <c r="D55" s="12"/>
      <c r="E55" s="12"/>
      <c r="F55" s="12"/>
      <c r="G55" s="13"/>
      <c r="H55" s="13"/>
      <c r="I55" s="13"/>
      <c r="J55" s="14"/>
      <c r="K55" s="14"/>
      <c r="L55" s="27"/>
      <c r="M55" s="29"/>
      <c r="N55" s="32"/>
      <c r="O55" s="32"/>
      <c r="P55" s="32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</row>
    <row r="56" spans="1:45" x14ac:dyDescent="0.3">
      <c r="A56" s="15"/>
      <c r="B56" s="15"/>
      <c r="C56" s="15"/>
      <c r="D56" s="12"/>
      <c r="E56" s="12"/>
      <c r="F56" s="12"/>
      <c r="G56" s="13"/>
      <c r="H56" s="13"/>
      <c r="I56" s="13"/>
      <c r="J56" s="14"/>
      <c r="K56" s="14"/>
      <c r="L56" s="27"/>
      <c r="M56" s="29"/>
      <c r="N56" s="32"/>
      <c r="O56" s="32"/>
      <c r="P56" s="32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</row>
    <row r="57" spans="1:45" x14ac:dyDescent="0.3">
      <c r="A57" s="15"/>
      <c r="B57" s="15"/>
      <c r="C57" s="15"/>
      <c r="D57" s="12"/>
      <c r="E57" s="12"/>
      <c r="F57" s="12"/>
      <c r="G57" s="13"/>
      <c r="H57" s="13"/>
      <c r="I57" s="13"/>
      <c r="J57" s="14"/>
      <c r="K57" s="14"/>
      <c r="L57" s="27"/>
      <c r="M57" s="29"/>
      <c r="N57" s="32"/>
      <c r="O57" s="32"/>
      <c r="P57" s="32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</row>
    <row r="58" spans="1:45" x14ac:dyDescent="0.3">
      <c r="A58" s="15"/>
      <c r="B58" s="15"/>
      <c r="C58" s="15"/>
      <c r="D58" s="12"/>
      <c r="E58" s="12"/>
      <c r="F58" s="12"/>
      <c r="G58" s="13"/>
      <c r="H58" s="13"/>
      <c r="I58" s="13"/>
      <c r="J58" s="14"/>
      <c r="K58" s="14"/>
      <c r="L58" s="27"/>
      <c r="M58" s="29"/>
      <c r="N58" s="32"/>
      <c r="O58" s="32"/>
      <c r="P58" s="32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</row>
    <row r="59" spans="1:45" x14ac:dyDescent="0.3">
      <c r="A59" s="15"/>
      <c r="B59" s="15"/>
      <c r="C59" s="15"/>
      <c r="D59" s="12"/>
      <c r="E59" s="12"/>
      <c r="F59" s="12"/>
      <c r="G59" s="13"/>
      <c r="H59" s="13"/>
      <c r="I59" s="13"/>
      <c r="J59" s="14"/>
      <c r="K59" s="14"/>
      <c r="L59" s="27"/>
      <c r="M59" s="29"/>
      <c r="N59" s="32"/>
      <c r="O59" s="32"/>
      <c r="P59" s="32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</row>
    <row r="60" spans="1:45" x14ac:dyDescent="0.3">
      <c r="A60" s="15"/>
      <c r="B60" s="15"/>
      <c r="C60" s="15"/>
      <c r="D60" s="12"/>
      <c r="E60" s="12"/>
      <c r="F60" s="12"/>
      <c r="G60" s="13"/>
      <c r="H60" s="13"/>
      <c r="I60" s="13"/>
      <c r="J60" s="14"/>
      <c r="K60" s="14"/>
      <c r="L60" s="27"/>
      <c r="M60" s="29"/>
      <c r="N60" s="32"/>
      <c r="O60" s="32"/>
      <c r="P60" s="32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</row>
    <row r="61" spans="1:45" x14ac:dyDescent="0.3">
      <c r="A61" s="15"/>
      <c r="B61" s="15"/>
      <c r="C61" s="15"/>
      <c r="D61" s="12"/>
      <c r="E61" s="12"/>
      <c r="F61" s="12"/>
      <c r="G61" s="13"/>
      <c r="H61" s="13"/>
      <c r="I61" s="13"/>
      <c r="J61" s="8"/>
      <c r="K61" s="8"/>
      <c r="L61" s="28"/>
      <c r="M61" s="29"/>
      <c r="N61" s="32"/>
      <c r="O61" s="32"/>
      <c r="P61" s="32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</row>
    <row r="62" spans="1:45" x14ac:dyDescent="0.3">
      <c r="A62" s="15"/>
      <c r="B62" s="15"/>
      <c r="C62" s="15"/>
      <c r="D62" s="12"/>
      <c r="E62" s="12"/>
      <c r="F62" s="12"/>
      <c r="G62" s="13"/>
      <c r="H62" s="13"/>
      <c r="I62" s="13"/>
      <c r="J62" s="8"/>
      <c r="K62" s="8"/>
      <c r="L62" s="28"/>
      <c r="M62" s="29"/>
      <c r="N62" s="32"/>
      <c r="O62" s="32"/>
      <c r="P62" s="32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</row>
    <row r="63" spans="1:45" x14ac:dyDescent="0.3">
      <c r="A63" s="15"/>
      <c r="B63" s="15"/>
      <c r="C63" s="15"/>
      <c r="D63" s="12"/>
      <c r="E63" s="12"/>
      <c r="F63" s="12"/>
      <c r="G63" s="13"/>
      <c r="H63" s="13"/>
      <c r="I63" s="13"/>
      <c r="J63" s="8"/>
      <c r="K63" s="8"/>
      <c r="L63" s="28"/>
      <c r="M63" s="29"/>
      <c r="N63" s="32"/>
      <c r="O63" s="32"/>
      <c r="P63" s="32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</row>
    <row r="64" spans="1:45" x14ac:dyDescent="0.3">
      <c r="A64" s="15"/>
      <c r="B64" s="15"/>
      <c r="C64" s="15"/>
      <c r="D64" s="12"/>
      <c r="E64" s="12"/>
      <c r="F64" s="12"/>
      <c r="G64" s="13"/>
      <c r="H64" s="13"/>
      <c r="I64" s="13"/>
      <c r="J64" s="8"/>
      <c r="K64" s="8"/>
      <c r="L64" s="28"/>
      <c r="M64" s="29"/>
      <c r="N64" s="32"/>
      <c r="O64" s="32"/>
      <c r="P64" s="32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</row>
    <row r="65" spans="1:45" x14ac:dyDescent="0.3">
      <c r="A65" s="15"/>
      <c r="B65" s="15"/>
      <c r="C65" s="15"/>
      <c r="D65" s="12"/>
      <c r="E65" s="12"/>
      <c r="F65" s="12"/>
      <c r="G65" s="13"/>
      <c r="H65" s="13"/>
      <c r="I65" s="13"/>
      <c r="J65" s="8"/>
      <c r="K65" s="8"/>
      <c r="L65" s="28"/>
      <c r="M65" s="29"/>
      <c r="N65" s="32"/>
      <c r="O65" s="32"/>
      <c r="P65" s="32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</row>
    <row r="66" spans="1:45" x14ac:dyDescent="0.3">
      <c r="A66" s="15"/>
      <c r="B66" s="15"/>
      <c r="C66" s="15"/>
      <c r="D66" s="12"/>
      <c r="E66" s="12"/>
      <c r="F66" s="12"/>
      <c r="G66" s="13"/>
      <c r="H66" s="13"/>
      <c r="I66" s="13"/>
      <c r="J66" s="8"/>
      <c r="K66" s="8"/>
      <c r="L66" s="28"/>
      <c r="M66" s="29"/>
      <c r="N66" s="32"/>
      <c r="O66" s="32"/>
      <c r="P66" s="32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</row>
    <row r="67" spans="1:45" x14ac:dyDescent="0.3">
      <c r="A67" s="15"/>
      <c r="B67" s="15"/>
      <c r="C67" s="15"/>
      <c r="D67" s="12"/>
      <c r="E67" s="12"/>
      <c r="F67" s="12"/>
      <c r="G67" s="13"/>
      <c r="H67" s="13"/>
      <c r="I67" s="13"/>
      <c r="J67" s="8"/>
      <c r="K67" s="8"/>
      <c r="L67" s="28"/>
      <c r="M67" s="29"/>
      <c r="N67" s="32"/>
      <c r="O67" s="32"/>
      <c r="P67" s="32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</row>
    <row r="68" spans="1:45" x14ac:dyDescent="0.3">
      <c r="A68" s="15"/>
      <c r="B68" s="15"/>
      <c r="C68" s="15"/>
      <c r="D68" s="12"/>
      <c r="E68" s="12"/>
      <c r="F68" s="12"/>
      <c r="G68" s="13"/>
      <c r="H68" s="13"/>
      <c r="I68" s="13"/>
      <c r="J68" s="8"/>
      <c r="K68" s="8"/>
      <c r="L68" s="28"/>
      <c r="M68" s="29"/>
      <c r="N68" s="32"/>
      <c r="O68" s="32"/>
      <c r="P68" s="32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</row>
    <row r="69" spans="1:45" x14ac:dyDescent="0.3">
      <c r="A69" s="15"/>
      <c r="B69" s="15"/>
      <c r="C69" s="15"/>
      <c r="D69" s="12"/>
      <c r="E69" s="12"/>
      <c r="F69" s="12"/>
      <c r="G69" s="13"/>
      <c r="H69" s="13"/>
      <c r="I69" s="13"/>
      <c r="J69" s="8"/>
      <c r="K69" s="8"/>
      <c r="L69" s="28"/>
      <c r="M69" s="29"/>
      <c r="N69" s="32"/>
      <c r="O69" s="32"/>
      <c r="P69" s="32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</row>
    <row r="70" spans="1:45" x14ac:dyDescent="0.3">
      <c r="A70" s="15"/>
      <c r="B70" s="15"/>
      <c r="C70" s="15"/>
      <c r="D70" s="12"/>
      <c r="E70" s="12"/>
      <c r="F70" s="12"/>
      <c r="G70" s="13"/>
      <c r="H70" s="13"/>
      <c r="I70" s="13"/>
      <c r="J70" s="8"/>
      <c r="K70" s="8"/>
      <c r="L70" s="28"/>
      <c r="M70" s="29"/>
      <c r="N70" s="32"/>
      <c r="O70" s="32"/>
      <c r="P70" s="32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</row>
    <row r="71" spans="1:45" x14ac:dyDescent="0.3">
      <c r="A71" s="15"/>
      <c r="B71" s="15"/>
      <c r="C71" s="15"/>
      <c r="D71" s="12"/>
      <c r="E71" s="12"/>
      <c r="F71" s="12"/>
      <c r="G71" s="13"/>
      <c r="H71" s="13"/>
      <c r="I71" s="13"/>
      <c r="J71" s="8"/>
      <c r="K71" s="8"/>
      <c r="L71" s="28"/>
      <c r="M71" s="29"/>
      <c r="N71" s="32"/>
      <c r="O71" s="32"/>
      <c r="P71" s="32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</row>
    <row r="72" spans="1:45" x14ac:dyDescent="0.3">
      <c r="A72" s="15"/>
      <c r="B72" s="15"/>
      <c r="C72" s="15"/>
      <c r="D72" s="12"/>
      <c r="E72" s="12"/>
      <c r="F72" s="12"/>
      <c r="G72" s="13"/>
      <c r="H72" s="13"/>
      <c r="I72" s="13"/>
      <c r="J72" s="8"/>
      <c r="K72" s="8"/>
      <c r="L72" s="28"/>
      <c r="M72" s="29"/>
      <c r="N72" s="32"/>
      <c r="O72" s="32"/>
      <c r="P72" s="32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</row>
    <row r="73" spans="1:45" x14ac:dyDescent="0.3">
      <c r="A73" s="16"/>
      <c r="B73" s="16"/>
      <c r="C73" s="16"/>
      <c r="D73" s="12"/>
      <c r="E73" s="12"/>
      <c r="F73" s="12"/>
      <c r="G73" s="13"/>
      <c r="H73" s="13"/>
      <c r="I73" s="13"/>
      <c r="J73" s="8"/>
      <c r="K73" s="8"/>
      <c r="L73" s="28"/>
      <c r="M73" s="29"/>
      <c r="N73" s="32"/>
      <c r="O73" s="32"/>
      <c r="P73" s="32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</row>
    <row r="74" spans="1:45" x14ac:dyDescent="0.3">
      <c r="A74" s="16"/>
      <c r="B74" s="16"/>
      <c r="C74" s="16"/>
      <c r="D74" s="12"/>
      <c r="E74" s="12"/>
      <c r="F74" s="12"/>
      <c r="G74" s="13"/>
      <c r="H74" s="13"/>
      <c r="I74" s="13"/>
      <c r="J74" s="8"/>
      <c r="K74" s="8"/>
      <c r="L74" s="28"/>
      <c r="M74" s="29"/>
      <c r="N74" s="32"/>
      <c r="O74" s="32"/>
      <c r="P74" s="32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</row>
    <row r="75" spans="1:45" x14ac:dyDescent="0.3">
      <c r="A75" s="16"/>
      <c r="B75" s="16"/>
      <c r="C75" s="16"/>
      <c r="D75" s="12"/>
      <c r="E75" s="12"/>
      <c r="F75" s="12"/>
      <c r="G75" s="13"/>
      <c r="H75" s="13"/>
      <c r="I75" s="13"/>
      <c r="J75" s="8"/>
      <c r="K75" s="8"/>
      <c r="L75" s="28"/>
      <c r="M75" s="29"/>
      <c r="N75" s="32"/>
      <c r="O75" s="32"/>
      <c r="P75" s="32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</row>
    <row r="76" spans="1:45" x14ac:dyDescent="0.3">
      <c r="A76" s="16"/>
      <c r="B76" s="16"/>
      <c r="C76" s="16"/>
      <c r="D76" s="12"/>
      <c r="E76" s="12"/>
      <c r="F76" s="12"/>
      <c r="G76" s="13"/>
      <c r="H76" s="13"/>
      <c r="I76" s="13"/>
      <c r="J76" s="8"/>
      <c r="K76" s="8"/>
      <c r="L76" s="28"/>
      <c r="M76" s="29"/>
      <c r="N76" s="32"/>
      <c r="O76" s="32"/>
      <c r="P76" s="32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</row>
    <row r="77" spans="1:45" x14ac:dyDescent="0.3">
      <c r="A77" s="16"/>
      <c r="B77" s="16"/>
      <c r="C77" s="16"/>
      <c r="D77" s="12"/>
      <c r="E77" s="12"/>
      <c r="F77" s="12"/>
      <c r="G77" s="13"/>
      <c r="H77" s="13"/>
      <c r="I77" s="13"/>
      <c r="J77" s="8"/>
      <c r="K77" s="8"/>
      <c r="L77" s="28"/>
      <c r="M77" s="29"/>
      <c r="N77" s="32"/>
      <c r="O77" s="32"/>
      <c r="P77" s="32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</row>
    <row r="78" spans="1:45" x14ac:dyDescent="0.3">
      <c r="A78" s="16"/>
      <c r="B78" s="16"/>
      <c r="C78" s="16"/>
      <c r="D78" s="12"/>
      <c r="E78" s="12"/>
      <c r="F78" s="12"/>
      <c r="G78" s="13"/>
      <c r="H78" s="13"/>
      <c r="I78" s="13"/>
      <c r="J78" s="8"/>
      <c r="K78" s="8"/>
      <c r="L78" s="28"/>
      <c r="M78" s="29"/>
      <c r="N78" s="32"/>
      <c r="O78" s="32"/>
      <c r="P78" s="32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</row>
    <row r="79" spans="1:45" x14ac:dyDescent="0.3">
      <c r="A79" s="16"/>
      <c r="B79" s="16"/>
      <c r="C79" s="16"/>
      <c r="D79" s="12"/>
      <c r="E79" s="12"/>
      <c r="F79" s="12"/>
      <c r="G79" s="13"/>
      <c r="H79" s="13"/>
      <c r="I79" s="13"/>
      <c r="J79" s="7"/>
      <c r="K79" s="7"/>
      <c r="L79" s="7"/>
      <c r="M79" s="29"/>
      <c r="N79" s="32"/>
      <c r="O79" s="32"/>
      <c r="P79" s="32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</row>
    <row r="80" spans="1:45" x14ac:dyDescent="0.3">
      <c r="A80" s="16"/>
      <c r="B80" s="16"/>
      <c r="C80" s="16"/>
      <c r="D80" s="12"/>
      <c r="E80" s="12"/>
      <c r="F80" s="12"/>
      <c r="G80" s="13"/>
      <c r="H80" s="13"/>
      <c r="I80" s="13"/>
      <c r="J80" s="7"/>
      <c r="K80" s="7"/>
      <c r="L80" s="7"/>
      <c r="M80" s="29"/>
      <c r="N80" s="32"/>
      <c r="O80" s="32"/>
      <c r="P80" s="32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</row>
    <row r="81" spans="1:45" x14ac:dyDescent="0.3">
      <c r="A81" s="16"/>
      <c r="B81" s="16"/>
      <c r="C81" s="16"/>
      <c r="D81" s="12"/>
      <c r="E81" s="12"/>
      <c r="F81" s="12"/>
      <c r="G81" s="13"/>
      <c r="H81" s="13"/>
      <c r="I81" s="13"/>
      <c r="J81" s="7"/>
      <c r="K81" s="7"/>
      <c r="L81" s="7"/>
      <c r="M81" s="29"/>
      <c r="N81" s="32"/>
      <c r="O81" s="32"/>
      <c r="P81" s="32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</row>
    <row r="82" spans="1:45" x14ac:dyDescent="0.3">
      <c r="A82" s="16"/>
      <c r="B82" s="16"/>
      <c r="C82" s="16"/>
      <c r="D82" s="12"/>
      <c r="E82" s="12"/>
      <c r="F82" s="12"/>
      <c r="G82" s="13"/>
      <c r="H82" s="13"/>
      <c r="I82" s="13"/>
      <c r="J82" s="7"/>
      <c r="K82" s="7"/>
      <c r="L82" s="7"/>
      <c r="M82" s="29"/>
      <c r="N82" s="32"/>
      <c r="O82" s="32"/>
      <c r="P82" s="32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</row>
    <row r="83" spans="1:45" x14ac:dyDescent="0.3">
      <c r="A83" s="16"/>
      <c r="B83" s="16"/>
      <c r="C83" s="16"/>
      <c r="D83" s="12"/>
      <c r="E83" s="12"/>
      <c r="F83" s="12"/>
      <c r="G83" s="13"/>
      <c r="H83" s="13"/>
      <c r="I83" s="13"/>
      <c r="J83" s="7"/>
      <c r="K83" s="7"/>
      <c r="L83" s="7"/>
      <c r="M83" s="29"/>
      <c r="N83" s="32"/>
      <c r="O83" s="32"/>
      <c r="P83" s="32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</row>
    <row r="84" spans="1:45" x14ac:dyDescent="0.3">
      <c r="A84" s="16"/>
      <c r="B84" s="16"/>
      <c r="C84" s="16"/>
      <c r="D84" s="12"/>
      <c r="E84" s="12"/>
      <c r="F84" s="12"/>
      <c r="G84" s="13"/>
      <c r="H84" s="13"/>
      <c r="I84" s="13"/>
      <c r="J84" s="7"/>
      <c r="K84" s="7"/>
      <c r="L84" s="7"/>
      <c r="M84" s="29"/>
      <c r="N84" s="32"/>
      <c r="O84" s="32"/>
      <c r="P84" s="32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</row>
    <row r="85" spans="1:45" x14ac:dyDescent="0.3">
      <c r="A85" s="16"/>
      <c r="B85" s="16"/>
      <c r="C85" s="16"/>
      <c r="D85" s="12"/>
      <c r="E85" s="12"/>
      <c r="F85" s="12"/>
      <c r="G85" s="13"/>
      <c r="H85" s="13"/>
      <c r="I85" s="13"/>
      <c r="J85" s="7"/>
      <c r="K85" s="7"/>
      <c r="L85" s="7"/>
      <c r="M85" s="29"/>
      <c r="N85" s="32"/>
      <c r="O85" s="32"/>
      <c r="P85" s="32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</row>
    <row r="86" spans="1:45" x14ac:dyDescent="0.3">
      <c r="A86" s="16"/>
      <c r="B86" s="16"/>
      <c r="C86" s="16"/>
      <c r="D86" s="12"/>
      <c r="E86" s="12"/>
      <c r="F86" s="12"/>
      <c r="G86" s="13"/>
      <c r="H86" s="13"/>
      <c r="I86" s="13"/>
      <c r="J86" s="7"/>
      <c r="K86" s="7"/>
      <c r="L86" s="7"/>
      <c r="M86" s="29"/>
      <c r="N86" s="32"/>
      <c r="O86" s="32"/>
      <c r="P86" s="32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</row>
    <row r="87" spans="1:45" x14ac:dyDescent="0.3">
      <c r="A87" s="16"/>
      <c r="B87" s="16"/>
      <c r="C87" s="16"/>
      <c r="D87" s="12"/>
      <c r="E87" s="12"/>
      <c r="F87" s="12"/>
      <c r="G87" s="13"/>
      <c r="H87" s="13"/>
      <c r="I87" s="13"/>
      <c r="J87" s="7"/>
      <c r="K87" s="7"/>
      <c r="L87" s="7"/>
      <c r="M87" s="29"/>
      <c r="N87" s="32"/>
      <c r="O87" s="32"/>
      <c r="P87" s="32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</row>
    <row r="88" spans="1:45" x14ac:dyDescent="0.3">
      <c r="A88" s="16"/>
      <c r="B88" s="16"/>
      <c r="C88" s="16"/>
      <c r="D88" s="12"/>
      <c r="E88" s="12"/>
      <c r="F88" s="12"/>
      <c r="G88" s="13"/>
      <c r="H88" s="13"/>
      <c r="I88" s="13"/>
      <c r="J88" s="7"/>
      <c r="K88" s="7"/>
      <c r="L88" s="7"/>
      <c r="M88" s="29"/>
      <c r="N88" s="32"/>
      <c r="O88" s="32"/>
      <c r="P88" s="32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</row>
    <row r="89" spans="1:45" x14ac:dyDescent="0.3">
      <c r="A89" s="16"/>
      <c r="B89" s="16"/>
      <c r="C89" s="16"/>
      <c r="D89" s="12"/>
      <c r="E89" s="12"/>
      <c r="F89" s="12"/>
      <c r="G89" s="13"/>
      <c r="H89" s="13"/>
      <c r="I89" s="13"/>
      <c r="J89" s="7"/>
      <c r="K89" s="7"/>
      <c r="L89" s="7"/>
      <c r="M89" s="29"/>
      <c r="N89" s="32"/>
      <c r="O89" s="32"/>
      <c r="P89" s="32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</row>
    <row r="90" spans="1:45" x14ac:dyDescent="0.3">
      <c r="A90" s="16"/>
      <c r="B90" s="16"/>
      <c r="C90" s="16"/>
      <c r="D90" s="12"/>
      <c r="E90" s="12"/>
      <c r="F90" s="12"/>
      <c r="G90" s="13"/>
      <c r="H90" s="13"/>
      <c r="I90" s="13"/>
      <c r="J90" s="7"/>
      <c r="K90" s="7"/>
      <c r="L90" s="7"/>
      <c r="M90" s="29"/>
      <c r="N90" s="32"/>
      <c r="O90" s="32"/>
      <c r="P90" s="32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</row>
    <row r="91" spans="1:45" x14ac:dyDescent="0.3">
      <c r="A91" s="16"/>
      <c r="B91" s="16"/>
      <c r="C91" s="16"/>
      <c r="D91" s="12"/>
      <c r="E91" s="12"/>
      <c r="F91" s="12"/>
      <c r="G91" s="13"/>
      <c r="H91" s="13"/>
      <c r="I91" s="13"/>
      <c r="J91" s="7"/>
      <c r="K91" s="7"/>
      <c r="L91" s="7"/>
      <c r="M91" s="29"/>
      <c r="N91" s="32"/>
      <c r="O91" s="32"/>
      <c r="P91" s="32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</row>
    <row r="92" spans="1:45" x14ac:dyDescent="0.3">
      <c r="A92" s="16"/>
      <c r="B92" s="16"/>
      <c r="C92" s="16"/>
      <c r="D92" s="12"/>
      <c r="E92" s="12"/>
      <c r="F92" s="12"/>
      <c r="G92" s="13"/>
      <c r="H92" s="13"/>
      <c r="I92" s="13"/>
      <c r="J92" s="7"/>
      <c r="K92" s="7"/>
      <c r="L92" s="7"/>
      <c r="M92" s="29"/>
      <c r="N92" s="32"/>
      <c r="O92" s="32"/>
      <c r="P92" s="32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</row>
    <row r="93" spans="1:45" x14ac:dyDescent="0.3">
      <c r="A93" s="16"/>
      <c r="B93" s="16"/>
      <c r="C93" s="16"/>
      <c r="D93" s="12"/>
      <c r="E93" s="12"/>
      <c r="F93" s="12"/>
      <c r="G93" s="13"/>
      <c r="H93" s="13"/>
      <c r="I93" s="13"/>
      <c r="J93" s="7"/>
      <c r="K93" s="7"/>
      <c r="L93" s="7"/>
      <c r="M93" s="29"/>
      <c r="N93" s="32"/>
      <c r="O93" s="32"/>
      <c r="P93" s="32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</row>
    <row r="94" spans="1:45" x14ac:dyDescent="0.3">
      <c r="A94" s="16"/>
      <c r="B94" s="16"/>
      <c r="C94" s="16"/>
      <c r="D94" s="12"/>
      <c r="E94" s="12"/>
      <c r="F94" s="12"/>
      <c r="G94" s="13"/>
      <c r="H94" s="13"/>
      <c r="I94" s="13"/>
      <c r="J94" s="7"/>
      <c r="K94" s="7"/>
      <c r="L94" s="7"/>
      <c r="M94" s="29"/>
      <c r="N94" s="32"/>
      <c r="O94" s="32"/>
      <c r="P94" s="32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</row>
    <row r="95" spans="1:45" x14ac:dyDescent="0.3">
      <c r="A95" s="16"/>
      <c r="B95" s="16"/>
      <c r="C95" s="16"/>
      <c r="D95" s="12"/>
      <c r="E95" s="12"/>
      <c r="F95" s="12"/>
      <c r="G95" s="13"/>
      <c r="H95" s="13"/>
      <c r="I95" s="13"/>
      <c r="J95" s="7"/>
      <c r="K95" s="7"/>
      <c r="L95" s="7"/>
      <c r="M95" s="29"/>
      <c r="N95" s="32"/>
      <c r="O95" s="32"/>
      <c r="P95" s="32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</row>
    <row r="96" spans="1:45" x14ac:dyDescent="0.3">
      <c r="A96" s="16"/>
      <c r="B96" s="16"/>
      <c r="C96" s="16"/>
      <c r="D96" s="12"/>
      <c r="E96" s="12"/>
      <c r="F96" s="12"/>
      <c r="G96" s="13"/>
      <c r="H96" s="13"/>
      <c r="I96" s="13"/>
      <c r="J96" s="7"/>
      <c r="K96" s="7"/>
      <c r="L96" s="7"/>
      <c r="M96" s="29"/>
      <c r="N96" s="32"/>
      <c r="O96" s="32"/>
      <c r="P96" s="32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</row>
    <row r="97" spans="1:45" x14ac:dyDescent="0.3">
      <c r="A97" s="16"/>
      <c r="B97" s="16"/>
      <c r="C97" s="16"/>
      <c r="D97" s="12"/>
      <c r="E97" s="12"/>
      <c r="F97" s="12"/>
      <c r="G97" s="13"/>
      <c r="H97" s="13"/>
      <c r="I97" s="13"/>
      <c r="J97" s="7"/>
      <c r="K97" s="7"/>
      <c r="L97" s="7"/>
      <c r="M97" s="29"/>
      <c r="N97" s="32"/>
      <c r="O97" s="32"/>
      <c r="P97" s="32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</row>
    <row r="98" spans="1:45" x14ac:dyDescent="0.3">
      <c r="A98" s="16"/>
      <c r="B98" s="16"/>
      <c r="C98" s="16"/>
      <c r="D98" s="12"/>
      <c r="E98" s="12"/>
      <c r="F98" s="12"/>
      <c r="G98" s="13"/>
      <c r="H98" s="13"/>
      <c r="I98" s="13"/>
      <c r="J98" s="7"/>
      <c r="K98" s="7"/>
      <c r="L98" s="7"/>
      <c r="M98" s="29"/>
      <c r="N98" s="32"/>
      <c r="O98" s="32"/>
      <c r="P98" s="32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</row>
    <row r="99" spans="1:45" x14ac:dyDescent="0.3">
      <c r="A99" s="16"/>
      <c r="B99" s="16"/>
      <c r="C99" s="16"/>
      <c r="D99" s="12"/>
      <c r="E99" s="12"/>
      <c r="F99" s="12"/>
      <c r="G99" s="13"/>
      <c r="H99" s="13"/>
      <c r="I99" s="13"/>
      <c r="J99" s="7"/>
      <c r="K99" s="7"/>
      <c r="L99" s="7"/>
      <c r="M99" s="29"/>
      <c r="N99" s="32"/>
      <c r="O99" s="32"/>
      <c r="P99" s="32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</row>
    <row r="100" spans="1:45" x14ac:dyDescent="0.3">
      <c r="A100" s="16"/>
      <c r="B100" s="16"/>
      <c r="C100" s="16"/>
      <c r="D100" s="12"/>
      <c r="E100" s="12"/>
      <c r="F100" s="12"/>
      <c r="G100" s="13"/>
      <c r="H100" s="13"/>
      <c r="I100" s="13"/>
      <c r="J100" s="7"/>
      <c r="K100" s="7"/>
      <c r="L100" s="7"/>
      <c r="M100" s="29"/>
      <c r="N100" s="32"/>
      <c r="O100" s="32"/>
      <c r="P100" s="32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</row>
    <row r="101" spans="1:45" x14ac:dyDescent="0.3">
      <c r="A101" s="16"/>
      <c r="B101" s="16"/>
      <c r="C101" s="16"/>
      <c r="D101" s="12"/>
      <c r="E101" s="12"/>
      <c r="F101" s="12"/>
      <c r="G101" s="13"/>
      <c r="H101" s="13"/>
      <c r="I101" s="13"/>
      <c r="J101" s="7"/>
      <c r="K101" s="7"/>
      <c r="L101" s="7"/>
      <c r="M101" s="29"/>
      <c r="N101" s="32"/>
      <c r="O101" s="32"/>
      <c r="P101" s="32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</row>
    <row r="102" spans="1:45" x14ac:dyDescent="0.3">
      <c r="A102" s="16"/>
      <c r="B102" s="16"/>
      <c r="C102" s="16"/>
      <c r="D102" s="12"/>
      <c r="E102" s="12"/>
      <c r="F102" s="12"/>
      <c r="G102" s="13"/>
      <c r="H102" s="13"/>
      <c r="I102" s="13"/>
      <c r="J102" s="7"/>
      <c r="K102" s="7"/>
      <c r="L102" s="7"/>
      <c r="M102" s="29"/>
      <c r="N102" s="32"/>
      <c r="O102" s="32"/>
      <c r="P102" s="32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</row>
    <row r="103" spans="1:45" x14ac:dyDescent="0.3">
      <c r="A103" s="16"/>
      <c r="B103" s="16"/>
      <c r="C103" s="16"/>
      <c r="D103" s="12"/>
      <c r="E103" s="12"/>
      <c r="F103" s="12"/>
      <c r="G103" s="13"/>
      <c r="H103" s="13"/>
      <c r="I103" s="13"/>
      <c r="J103" s="7"/>
      <c r="K103" s="7"/>
      <c r="L103" s="7"/>
      <c r="M103" s="29"/>
      <c r="N103" s="32"/>
      <c r="O103" s="32"/>
      <c r="P103" s="32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</row>
    <row r="104" spans="1:45" x14ac:dyDescent="0.3">
      <c r="A104" s="16"/>
      <c r="B104" s="16"/>
      <c r="C104" s="16"/>
      <c r="D104" s="12"/>
      <c r="E104" s="12"/>
      <c r="F104" s="12"/>
      <c r="G104" s="13"/>
      <c r="H104" s="13"/>
      <c r="I104" s="13"/>
      <c r="J104" s="7"/>
      <c r="K104" s="7"/>
      <c r="L104" s="7"/>
      <c r="M104" s="29"/>
      <c r="N104" s="32"/>
      <c r="O104" s="32"/>
      <c r="P104" s="32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</row>
    <row r="105" spans="1:45" x14ac:dyDescent="0.3">
      <c r="A105" s="16"/>
      <c r="B105" s="16"/>
      <c r="C105" s="16"/>
      <c r="D105" s="12"/>
      <c r="E105" s="12"/>
      <c r="F105" s="12"/>
      <c r="G105" s="13"/>
      <c r="H105" s="13"/>
      <c r="I105" s="13"/>
      <c r="J105" s="7"/>
      <c r="K105" s="7"/>
      <c r="L105" s="7"/>
      <c r="M105" s="29"/>
      <c r="N105" s="32"/>
      <c r="O105" s="32"/>
      <c r="P105" s="32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</row>
    <row r="106" spans="1:45" x14ac:dyDescent="0.3">
      <c r="A106" s="16"/>
      <c r="B106" s="16"/>
      <c r="C106" s="16"/>
      <c r="D106" s="12"/>
      <c r="E106" s="12"/>
      <c r="F106" s="12"/>
      <c r="G106" s="13"/>
      <c r="H106" s="13"/>
      <c r="I106" s="13"/>
      <c r="J106" s="7"/>
      <c r="K106" s="7"/>
      <c r="L106" s="7"/>
      <c r="M106" s="29"/>
      <c r="N106" s="32"/>
      <c r="O106" s="32"/>
      <c r="P106" s="32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</row>
    <row r="107" spans="1:45" x14ac:dyDescent="0.3">
      <c r="A107" s="16"/>
      <c r="B107" s="16"/>
      <c r="C107" s="16"/>
      <c r="D107" s="12"/>
      <c r="E107" s="12"/>
      <c r="F107" s="12"/>
      <c r="G107" s="13"/>
      <c r="H107" s="13"/>
      <c r="I107" s="13"/>
      <c r="J107" s="7"/>
      <c r="K107" s="7"/>
      <c r="L107" s="7"/>
      <c r="M107" s="29"/>
      <c r="N107" s="32"/>
      <c r="O107" s="32"/>
      <c r="P107" s="32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</row>
    <row r="108" spans="1:45" x14ac:dyDescent="0.3">
      <c r="A108" s="16"/>
      <c r="B108" s="16"/>
      <c r="C108" s="16"/>
      <c r="D108" s="12"/>
      <c r="E108" s="12"/>
      <c r="F108" s="12"/>
      <c r="G108" s="13"/>
      <c r="H108" s="13"/>
      <c r="I108" s="13"/>
      <c r="J108" s="7"/>
      <c r="K108" s="7"/>
      <c r="L108" s="7"/>
      <c r="M108" s="29"/>
      <c r="N108" s="32"/>
      <c r="O108" s="32"/>
      <c r="P108" s="32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</row>
    <row r="109" spans="1:45" x14ac:dyDescent="0.3">
      <c r="A109" s="16"/>
      <c r="B109" s="16"/>
      <c r="C109" s="16"/>
      <c r="D109" s="12"/>
      <c r="E109" s="12"/>
      <c r="F109" s="12"/>
      <c r="G109" s="13"/>
      <c r="H109" s="13"/>
      <c r="I109" s="13"/>
      <c r="J109" s="7"/>
      <c r="K109" s="7"/>
      <c r="L109" s="7"/>
      <c r="M109" s="29"/>
      <c r="N109" s="32"/>
      <c r="O109" s="32"/>
      <c r="P109" s="32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</row>
    <row r="110" spans="1:45" x14ac:dyDescent="0.3">
      <c r="A110" s="16"/>
      <c r="B110" s="16"/>
      <c r="C110" s="16"/>
      <c r="D110" s="12"/>
      <c r="E110" s="12"/>
      <c r="F110" s="12"/>
      <c r="G110" s="13"/>
      <c r="H110" s="13"/>
      <c r="I110" s="13"/>
      <c r="J110" s="7"/>
      <c r="K110" s="7"/>
      <c r="L110" s="7"/>
      <c r="M110" s="29"/>
      <c r="N110" s="32"/>
      <c r="O110" s="32"/>
      <c r="P110" s="32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</row>
    <row r="111" spans="1:45" x14ac:dyDescent="0.3">
      <c r="A111" s="16"/>
      <c r="B111" s="16"/>
      <c r="C111" s="16"/>
      <c r="D111" s="12"/>
      <c r="E111" s="12"/>
      <c r="F111" s="12"/>
      <c r="G111" s="13"/>
      <c r="H111" s="13"/>
      <c r="I111" s="13"/>
      <c r="J111" s="7"/>
      <c r="K111" s="7"/>
      <c r="L111" s="7"/>
      <c r="M111" s="29"/>
      <c r="N111" s="32"/>
      <c r="O111" s="32"/>
      <c r="P111" s="32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</row>
    <row r="112" spans="1:45" x14ac:dyDescent="0.3">
      <c r="A112" s="16"/>
      <c r="B112" s="16"/>
      <c r="C112" s="16"/>
      <c r="D112" s="12"/>
      <c r="E112" s="12"/>
      <c r="F112" s="12"/>
      <c r="G112" s="13"/>
      <c r="H112" s="13"/>
      <c r="I112" s="13"/>
      <c r="J112" s="7"/>
      <c r="K112" s="7"/>
      <c r="L112" s="7"/>
      <c r="M112" s="29"/>
      <c r="N112" s="32"/>
      <c r="O112" s="32"/>
      <c r="P112" s="32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</row>
    <row r="113" spans="1:45" x14ac:dyDescent="0.3">
      <c r="A113" s="16"/>
      <c r="B113" s="16"/>
      <c r="C113" s="16"/>
      <c r="D113" s="12"/>
      <c r="E113" s="12"/>
      <c r="F113" s="12"/>
      <c r="G113" s="13"/>
      <c r="H113" s="13"/>
      <c r="I113" s="13"/>
      <c r="J113" s="7"/>
      <c r="K113" s="7"/>
      <c r="L113" s="7"/>
      <c r="M113" s="29"/>
      <c r="N113" s="32"/>
      <c r="O113" s="32"/>
      <c r="P113" s="32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</row>
    <row r="114" spans="1:45" x14ac:dyDescent="0.3">
      <c r="A114" s="16"/>
      <c r="B114" s="16"/>
      <c r="C114" s="16"/>
      <c r="D114" s="12"/>
      <c r="E114" s="12"/>
      <c r="F114" s="12"/>
      <c r="G114" s="13"/>
      <c r="H114" s="13"/>
      <c r="I114" s="13"/>
      <c r="J114" s="7"/>
      <c r="K114" s="7"/>
      <c r="L114" s="7"/>
      <c r="M114" s="29"/>
      <c r="N114" s="32"/>
      <c r="O114" s="32"/>
      <c r="P114" s="32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</row>
    <row r="115" spans="1:45" x14ac:dyDescent="0.3">
      <c r="A115" s="16"/>
      <c r="B115" s="16"/>
      <c r="C115" s="16"/>
      <c r="D115" s="12"/>
      <c r="E115" s="12"/>
      <c r="F115" s="12"/>
      <c r="G115" s="13"/>
      <c r="H115" s="13"/>
      <c r="I115" s="13"/>
      <c r="J115" s="7"/>
      <c r="K115" s="7"/>
      <c r="L115" s="7"/>
      <c r="M115" s="29"/>
      <c r="N115" s="32"/>
      <c r="O115" s="32"/>
      <c r="P115" s="32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</row>
    <row r="116" spans="1:45" x14ac:dyDescent="0.3">
      <c r="A116" s="16"/>
      <c r="B116" s="16"/>
      <c r="C116" s="16"/>
      <c r="D116" s="12"/>
      <c r="E116" s="12"/>
      <c r="F116" s="12"/>
      <c r="G116" s="13"/>
      <c r="H116" s="13"/>
      <c r="I116" s="13"/>
      <c r="J116" s="7"/>
      <c r="K116" s="7"/>
      <c r="L116" s="7"/>
      <c r="M116" s="29"/>
      <c r="N116" s="32"/>
      <c r="O116" s="32"/>
      <c r="P116" s="32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</row>
    <row r="117" spans="1:45" x14ac:dyDescent="0.3">
      <c r="A117" s="16"/>
      <c r="B117" s="16"/>
      <c r="C117" s="16"/>
      <c r="D117" s="12"/>
      <c r="E117" s="12"/>
      <c r="F117" s="12"/>
      <c r="G117" s="11"/>
      <c r="H117" s="11"/>
      <c r="I117" s="11"/>
      <c r="J117" s="7"/>
      <c r="K117" s="7"/>
      <c r="L117" s="7"/>
      <c r="M117" s="29"/>
      <c r="N117" s="32"/>
      <c r="O117" s="32"/>
      <c r="P117" s="32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</row>
    <row r="118" spans="1:45" x14ac:dyDescent="0.3">
      <c r="A118" s="16"/>
      <c r="B118" s="16"/>
      <c r="C118" s="16"/>
      <c r="D118" s="12"/>
      <c r="E118" s="12"/>
      <c r="F118" s="12"/>
      <c r="G118" s="11"/>
      <c r="H118" s="11"/>
      <c r="I118" s="11"/>
      <c r="J118" s="7"/>
      <c r="K118" s="7"/>
      <c r="L118" s="7"/>
      <c r="M118" s="29"/>
      <c r="N118" s="32"/>
      <c r="O118" s="32"/>
      <c r="P118" s="32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</row>
    <row r="119" spans="1:45" x14ac:dyDescent="0.3">
      <c r="A119" s="16"/>
      <c r="B119" s="16"/>
      <c r="C119" s="16"/>
      <c r="D119" s="12"/>
      <c r="E119" s="12"/>
      <c r="F119" s="12"/>
      <c r="G119" s="11"/>
      <c r="H119" s="11"/>
      <c r="I119" s="11"/>
      <c r="J119" s="7"/>
      <c r="K119" s="7"/>
      <c r="L119" s="7"/>
      <c r="M119" s="29"/>
      <c r="N119" s="32"/>
      <c r="O119" s="32"/>
      <c r="P119" s="32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</row>
    <row r="120" spans="1:45" x14ac:dyDescent="0.3">
      <c r="A120" s="16"/>
      <c r="B120" s="16"/>
      <c r="C120" s="16"/>
      <c r="D120" s="12"/>
      <c r="E120" s="12"/>
      <c r="F120" s="12"/>
      <c r="G120" s="11"/>
      <c r="H120" s="11"/>
      <c r="I120" s="11"/>
      <c r="J120" s="7"/>
      <c r="K120" s="7"/>
      <c r="L120" s="7"/>
      <c r="M120" s="29"/>
      <c r="N120" s="32"/>
      <c r="O120" s="32"/>
      <c r="P120" s="32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</row>
    <row r="121" spans="1:45" x14ac:dyDescent="0.3">
      <c r="A121" s="16"/>
      <c r="B121" s="16"/>
      <c r="C121" s="16"/>
      <c r="D121" s="12"/>
      <c r="E121" s="12"/>
      <c r="F121" s="12"/>
      <c r="G121" s="11"/>
      <c r="H121" s="11"/>
      <c r="I121" s="11"/>
      <c r="J121" s="7"/>
      <c r="K121" s="7"/>
      <c r="L121" s="7"/>
      <c r="M121" s="29"/>
      <c r="N121" s="32"/>
      <c r="O121" s="32"/>
      <c r="P121" s="32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</row>
    <row r="122" spans="1:45" x14ac:dyDescent="0.3">
      <c r="A122" s="16"/>
      <c r="B122" s="16"/>
      <c r="C122" s="16"/>
      <c r="D122" s="12"/>
      <c r="E122" s="12"/>
      <c r="F122" s="12"/>
      <c r="G122" s="11"/>
      <c r="H122" s="11"/>
      <c r="I122" s="11"/>
      <c r="J122" s="7"/>
      <c r="K122" s="7"/>
      <c r="L122" s="7"/>
      <c r="M122" s="29"/>
      <c r="N122" s="32"/>
      <c r="O122" s="32"/>
      <c r="P122" s="32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</row>
    <row r="123" spans="1:45" x14ac:dyDescent="0.3">
      <c r="A123" s="7"/>
      <c r="B123" s="7"/>
      <c r="C123" s="7"/>
      <c r="D123" s="12"/>
      <c r="E123" s="12"/>
      <c r="F123" s="12"/>
      <c r="G123" s="11"/>
      <c r="H123" s="11"/>
      <c r="I123" s="11"/>
      <c r="J123" s="7"/>
      <c r="K123" s="7"/>
      <c r="L123" s="7"/>
      <c r="M123" s="29"/>
      <c r="N123" s="32"/>
      <c r="O123" s="32"/>
      <c r="P123" s="32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</row>
    <row r="124" spans="1:45" x14ac:dyDescent="0.3">
      <c r="A124" s="7"/>
      <c r="B124" s="7"/>
      <c r="C124" s="7"/>
      <c r="D124" s="12"/>
      <c r="E124" s="12"/>
      <c r="F124" s="12"/>
      <c r="G124" s="11"/>
      <c r="H124" s="11"/>
      <c r="I124" s="11"/>
      <c r="J124" s="7"/>
      <c r="K124" s="7"/>
      <c r="L124" s="7"/>
      <c r="M124" s="29"/>
      <c r="N124" s="32"/>
      <c r="O124" s="32"/>
      <c r="P124" s="32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</row>
    <row r="125" spans="1:45" x14ac:dyDescent="0.3">
      <c r="A125" s="7"/>
      <c r="B125" s="7"/>
      <c r="C125" s="7"/>
      <c r="D125" s="12"/>
      <c r="E125" s="12"/>
      <c r="F125" s="12"/>
      <c r="G125" s="11"/>
      <c r="H125" s="11"/>
      <c r="I125" s="11"/>
      <c r="J125" s="7"/>
      <c r="K125" s="7"/>
      <c r="L125" s="7"/>
      <c r="M125" s="29"/>
      <c r="N125" s="32"/>
      <c r="O125" s="32"/>
      <c r="P125" s="32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</row>
    <row r="126" spans="1:45" x14ac:dyDescent="0.3">
      <c r="A126" s="7"/>
      <c r="B126" s="7"/>
      <c r="C126" s="7"/>
      <c r="D126" s="12"/>
      <c r="E126" s="12"/>
      <c r="F126" s="12"/>
      <c r="G126" s="11"/>
      <c r="H126" s="11"/>
      <c r="I126" s="11"/>
      <c r="J126" s="7"/>
      <c r="K126" s="7"/>
      <c r="L126" s="7"/>
      <c r="M126" s="29"/>
      <c r="N126" s="32"/>
      <c r="O126" s="32"/>
      <c r="P126" s="32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</row>
    <row r="127" spans="1:45" x14ac:dyDescent="0.3">
      <c r="A127" s="7"/>
      <c r="B127" s="7"/>
      <c r="C127" s="7"/>
      <c r="D127" s="12"/>
      <c r="E127" s="12"/>
      <c r="F127" s="12"/>
      <c r="G127" s="11"/>
      <c r="H127" s="11"/>
      <c r="I127" s="11"/>
      <c r="J127" s="7"/>
      <c r="K127" s="7"/>
      <c r="L127" s="7"/>
      <c r="M127" s="29"/>
      <c r="N127" s="32"/>
      <c r="O127" s="32"/>
      <c r="P127" s="32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</row>
    <row r="128" spans="1:45" x14ac:dyDescent="0.3">
      <c r="A128" s="7"/>
      <c r="B128" s="7"/>
      <c r="C128" s="7"/>
      <c r="D128" s="12"/>
      <c r="E128" s="12"/>
      <c r="F128" s="12"/>
      <c r="G128" s="11"/>
      <c r="H128" s="11"/>
      <c r="I128" s="11"/>
      <c r="J128" s="7"/>
      <c r="K128" s="7"/>
      <c r="L128" s="7"/>
      <c r="M128" s="29"/>
      <c r="N128" s="32"/>
      <c r="O128" s="32"/>
      <c r="P128" s="32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</row>
    <row r="129" spans="1:45" x14ac:dyDescent="0.3">
      <c r="A129" s="7"/>
      <c r="B129" s="7"/>
      <c r="C129" s="7"/>
      <c r="D129" s="12"/>
      <c r="E129" s="12"/>
      <c r="F129" s="12"/>
      <c r="G129" s="11"/>
      <c r="H129" s="11"/>
      <c r="I129" s="11"/>
      <c r="J129" s="7"/>
      <c r="K129" s="7"/>
      <c r="L129" s="7"/>
      <c r="M129" s="29"/>
      <c r="N129" s="32"/>
      <c r="O129" s="32"/>
      <c r="P129" s="32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</row>
    <row r="130" spans="1:45" x14ac:dyDescent="0.3">
      <c r="A130" s="7"/>
      <c r="B130" s="7"/>
      <c r="C130" s="7"/>
      <c r="D130" s="12"/>
      <c r="E130" s="12"/>
      <c r="F130" s="12"/>
      <c r="G130" s="11"/>
      <c r="H130" s="11"/>
      <c r="I130" s="11"/>
      <c r="J130" s="7"/>
      <c r="K130" s="7"/>
      <c r="L130" s="7"/>
      <c r="M130" s="29"/>
      <c r="N130" s="32"/>
      <c r="O130" s="32"/>
      <c r="P130" s="32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</row>
    <row r="131" spans="1:45" x14ac:dyDescent="0.3">
      <c r="A131" s="7"/>
      <c r="B131" s="7"/>
      <c r="C131" s="7"/>
      <c r="D131" s="12"/>
      <c r="E131" s="12"/>
      <c r="F131" s="12"/>
      <c r="G131" s="11"/>
      <c r="H131" s="11"/>
      <c r="I131" s="11"/>
      <c r="J131" s="7"/>
      <c r="K131" s="7"/>
      <c r="L131" s="7"/>
      <c r="M131" s="29"/>
      <c r="N131" s="32"/>
      <c r="O131" s="32"/>
      <c r="P131" s="32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</row>
    <row r="132" spans="1:45" x14ac:dyDescent="0.3">
      <c r="A132" s="7"/>
      <c r="B132" s="7"/>
      <c r="C132" s="7"/>
      <c r="D132" s="12"/>
      <c r="E132" s="12"/>
      <c r="F132" s="12"/>
      <c r="G132" s="11"/>
      <c r="H132" s="11"/>
      <c r="I132" s="11"/>
      <c r="J132" s="7"/>
      <c r="K132" s="7"/>
      <c r="L132" s="7"/>
      <c r="M132" s="29"/>
      <c r="N132" s="32"/>
      <c r="O132" s="32"/>
      <c r="P132" s="32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</row>
    <row r="133" spans="1:45" x14ac:dyDescent="0.3">
      <c r="A133" s="7"/>
      <c r="B133" s="7"/>
      <c r="C133" s="7"/>
      <c r="D133" s="12"/>
      <c r="E133" s="12"/>
      <c r="F133" s="12"/>
      <c r="G133" s="11"/>
      <c r="H133" s="11"/>
      <c r="I133" s="11"/>
      <c r="J133" s="7"/>
      <c r="K133" s="7"/>
      <c r="L133" s="7"/>
      <c r="M133" s="29"/>
      <c r="N133" s="32"/>
      <c r="O133" s="32"/>
      <c r="P133" s="32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</row>
    <row r="134" spans="1:45" x14ac:dyDescent="0.3">
      <c r="A134" s="7"/>
      <c r="B134" s="7"/>
      <c r="C134" s="7"/>
      <c r="D134" s="12"/>
      <c r="E134" s="12"/>
      <c r="F134" s="12"/>
      <c r="G134" s="11"/>
      <c r="H134" s="11"/>
      <c r="I134" s="11"/>
      <c r="J134" s="7"/>
      <c r="K134" s="7"/>
      <c r="L134" s="7"/>
      <c r="M134" s="29"/>
      <c r="N134" s="32"/>
      <c r="O134" s="32"/>
      <c r="P134" s="32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</row>
    <row r="135" spans="1:45" x14ac:dyDescent="0.3">
      <c r="A135" s="7"/>
      <c r="B135" s="7"/>
      <c r="C135" s="7"/>
      <c r="D135" s="12"/>
      <c r="E135" s="12"/>
      <c r="F135" s="12"/>
      <c r="G135" s="11"/>
      <c r="H135" s="11"/>
      <c r="I135" s="11"/>
      <c r="J135" s="7"/>
      <c r="K135" s="7"/>
      <c r="L135" s="7"/>
      <c r="M135" s="29"/>
      <c r="N135" s="32"/>
      <c r="O135" s="32"/>
      <c r="P135" s="32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</row>
    <row r="136" spans="1:45" x14ac:dyDescent="0.3">
      <c r="A136" s="7"/>
      <c r="B136" s="7"/>
      <c r="C136" s="7"/>
      <c r="D136" s="12"/>
      <c r="E136" s="12"/>
      <c r="F136" s="12"/>
      <c r="G136" s="11"/>
      <c r="H136" s="11"/>
      <c r="I136" s="11"/>
      <c r="J136" s="7"/>
      <c r="K136" s="7"/>
      <c r="L136" s="7"/>
      <c r="M136" s="29"/>
      <c r="N136" s="32"/>
      <c r="O136" s="32"/>
      <c r="P136" s="32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</row>
    <row r="137" spans="1:45" x14ac:dyDescent="0.3">
      <c r="A137" s="7"/>
      <c r="B137" s="7"/>
      <c r="C137" s="7"/>
      <c r="D137" s="12"/>
      <c r="E137" s="12"/>
      <c r="F137" s="12"/>
      <c r="G137" s="11"/>
      <c r="H137" s="11"/>
      <c r="I137" s="11"/>
      <c r="J137" s="7"/>
      <c r="K137" s="7"/>
      <c r="L137" s="7"/>
      <c r="M137" s="29"/>
      <c r="N137" s="32"/>
      <c r="O137" s="32"/>
      <c r="P137" s="32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</row>
    <row r="138" spans="1:45" x14ac:dyDescent="0.3">
      <c r="A138" s="7"/>
      <c r="B138" s="7"/>
      <c r="C138" s="7"/>
      <c r="D138" s="12"/>
      <c r="E138" s="12"/>
      <c r="F138" s="12"/>
      <c r="G138" s="11"/>
      <c r="H138" s="11"/>
      <c r="I138" s="11"/>
      <c r="J138" s="7"/>
      <c r="K138" s="7"/>
      <c r="L138" s="7"/>
      <c r="M138" s="29"/>
      <c r="N138" s="32"/>
      <c r="O138" s="32"/>
      <c r="P138" s="32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</row>
    <row r="139" spans="1:45" x14ac:dyDescent="0.3">
      <c r="A139" s="7"/>
      <c r="B139" s="7"/>
      <c r="C139" s="7"/>
      <c r="D139" s="12"/>
      <c r="E139" s="12"/>
      <c r="F139" s="12"/>
      <c r="G139" s="11"/>
      <c r="H139" s="11"/>
      <c r="I139" s="11"/>
      <c r="J139" s="7"/>
      <c r="K139" s="7"/>
      <c r="L139" s="7"/>
      <c r="M139" s="29"/>
      <c r="N139" s="32"/>
      <c r="O139" s="32"/>
      <c r="P139" s="32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</row>
    <row r="140" spans="1:45" x14ac:dyDescent="0.3">
      <c r="A140" s="7"/>
      <c r="B140" s="7"/>
      <c r="C140" s="7"/>
      <c r="D140" s="12"/>
      <c r="E140" s="12"/>
      <c r="F140" s="12"/>
      <c r="G140" s="11"/>
      <c r="H140" s="11"/>
      <c r="I140" s="11"/>
      <c r="J140" s="7"/>
      <c r="K140" s="7"/>
      <c r="L140" s="7"/>
      <c r="M140" s="29"/>
      <c r="N140" s="32"/>
      <c r="O140" s="32"/>
      <c r="P140" s="32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</row>
    <row r="141" spans="1:45" x14ac:dyDescent="0.3">
      <c r="A141" s="7"/>
      <c r="B141" s="7"/>
      <c r="C141" s="7"/>
      <c r="D141" s="12"/>
      <c r="E141" s="12"/>
      <c r="F141" s="12"/>
      <c r="G141" s="11"/>
      <c r="H141" s="11"/>
      <c r="I141" s="11"/>
      <c r="J141" s="7"/>
      <c r="K141" s="7"/>
      <c r="L141" s="7"/>
      <c r="M141" s="29"/>
      <c r="N141" s="32"/>
      <c r="O141" s="32"/>
      <c r="P141" s="32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</row>
    <row r="142" spans="1:45" x14ac:dyDescent="0.3">
      <c r="A142" s="7"/>
      <c r="B142" s="7"/>
      <c r="C142" s="7"/>
      <c r="D142" s="12"/>
      <c r="E142" s="12"/>
      <c r="F142" s="12"/>
      <c r="G142" s="11"/>
      <c r="H142" s="11"/>
      <c r="I142" s="11"/>
      <c r="J142" s="7"/>
      <c r="K142" s="7"/>
      <c r="L142" s="7"/>
      <c r="M142" s="29"/>
      <c r="N142" s="32"/>
      <c r="O142" s="32"/>
      <c r="P142" s="32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</row>
    <row r="143" spans="1:45" x14ac:dyDescent="0.3">
      <c r="A143" s="7"/>
      <c r="B143" s="7"/>
      <c r="C143" s="7"/>
      <c r="D143" s="12"/>
      <c r="E143" s="12"/>
      <c r="F143" s="12"/>
      <c r="G143" s="11"/>
      <c r="H143" s="11"/>
      <c r="I143" s="11"/>
      <c r="J143" s="7"/>
      <c r="K143" s="7"/>
      <c r="L143" s="7"/>
      <c r="M143" s="29"/>
      <c r="N143" s="32"/>
      <c r="O143" s="32"/>
      <c r="P143" s="32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</row>
    <row r="144" spans="1:45" x14ac:dyDescent="0.3">
      <c r="A144" s="7"/>
      <c r="B144" s="7"/>
      <c r="C144" s="7"/>
      <c r="D144" s="12"/>
      <c r="E144" s="12"/>
      <c r="F144" s="12"/>
      <c r="G144" s="11"/>
      <c r="H144" s="11"/>
      <c r="I144" s="11"/>
      <c r="J144" s="7"/>
      <c r="K144" s="7"/>
      <c r="L144" s="7"/>
      <c r="M144" s="29"/>
      <c r="N144" s="32"/>
      <c r="O144" s="32"/>
      <c r="P144" s="32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</row>
    <row r="145" spans="1:45" x14ac:dyDescent="0.3">
      <c r="A145" s="7"/>
      <c r="B145" s="7"/>
      <c r="C145" s="7"/>
      <c r="D145" s="12"/>
      <c r="E145" s="12"/>
      <c r="F145" s="12"/>
      <c r="G145" s="11"/>
      <c r="H145" s="11"/>
      <c r="I145" s="11"/>
      <c r="J145" s="7"/>
      <c r="K145" s="7"/>
      <c r="L145" s="7"/>
      <c r="M145" s="29"/>
      <c r="N145" s="32"/>
      <c r="O145" s="32"/>
      <c r="P145" s="32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</row>
    <row r="146" spans="1:45" x14ac:dyDescent="0.3">
      <c r="A146" s="7"/>
      <c r="B146" s="7"/>
      <c r="C146" s="7"/>
      <c r="D146" s="12"/>
      <c r="E146" s="12"/>
      <c r="F146" s="12"/>
      <c r="G146" s="11"/>
      <c r="H146" s="11"/>
      <c r="I146" s="11"/>
      <c r="J146" s="7"/>
      <c r="K146" s="7"/>
      <c r="L146" s="7"/>
      <c r="M146" s="29"/>
      <c r="N146" s="32"/>
      <c r="O146" s="32"/>
      <c r="P146" s="32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</row>
    <row r="147" spans="1:45" x14ac:dyDescent="0.3">
      <c r="A147" s="7"/>
      <c r="B147" s="7"/>
      <c r="C147" s="7"/>
      <c r="D147" s="12"/>
      <c r="E147" s="12"/>
      <c r="F147" s="12"/>
      <c r="G147" s="11"/>
      <c r="H147" s="11"/>
      <c r="I147" s="11"/>
      <c r="J147" s="7"/>
      <c r="K147" s="7"/>
      <c r="L147" s="7"/>
      <c r="M147" s="29"/>
      <c r="N147" s="32"/>
      <c r="O147" s="32"/>
      <c r="P147" s="32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</row>
    <row r="148" spans="1:45" x14ac:dyDescent="0.3">
      <c r="A148" s="7"/>
      <c r="B148" s="7"/>
      <c r="C148" s="7"/>
      <c r="D148" s="12"/>
      <c r="E148" s="12"/>
      <c r="F148" s="12"/>
      <c r="G148" s="11"/>
      <c r="H148" s="11"/>
      <c r="I148" s="11"/>
      <c r="J148" s="7"/>
      <c r="K148" s="7"/>
      <c r="L148" s="7"/>
      <c r="M148" s="29"/>
      <c r="N148" s="32"/>
      <c r="O148" s="32"/>
      <c r="P148" s="32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</row>
    <row r="149" spans="1:45" x14ac:dyDescent="0.3">
      <c r="A149" s="7"/>
      <c r="B149" s="7"/>
      <c r="C149" s="7"/>
      <c r="D149" s="12"/>
      <c r="E149" s="12"/>
      <c r="F149" s="12"/>
      <c r="G149" s="11"/>
      <c r="H149" s="11"/>
      <c r="I149" s="11"/>
      <c r="J149" s="7"/>
      <c r="K149" s="7"/>
      <c r="L149" s="7"/>
      <c r="M149" s="29"/>
      <c r="N149" s="32"/>
      <c r="O149" s="32"/>
      <c r="P149" s="32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</row>
    <row r="150" spans="1:45" x14ac:dyDescent="0.3">
      <c r="A150" s="7"/>
      <c r="B150" s="7"/>
      <c r="C150" s="7"/>
      <c r="D150" s="12"/>
      <c r="E150" s="12"/>
      <c r="F150" s="12"/>
      <c r="G150" s="11"/>
      <c r="H150" s="11"/>
      <c r="I150" s="11"/>
      <c r="J150" s="7"/>
      <c r="K150" s="7"/>
      <c r="L150" s="7"/>
      <c r="M150" s="29"/>
      <c r="N150" s="32"/>
      <c r="O150" s="32"/>
      <c r="P150" s="32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</row>
    <row r="151" spans="1:45" x14ac:dyDescent="0.3">
      <c r="A151" s="7"/>
      <c r="B151" s="7"/>
      <c r="C151" s="7"/>
      <c r="D151" s="12"/>
      <c r="E151" s="12"/>
      <c r="F151" s="12"/>
      <c r="G151" s="11"/>
      <c r="H151" s="11"/>
      <c r="I151" s="11"/>
      <c r="J151" s="7"/>
      <c r="K151" s="7"/>
      <c r="L151" s="7"/>
      <c r="M151" s="29"/>
      <c r="N151" s="32"/>
      <c r="O151" s="32"/>
      <c r="P151" s="32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</row>
    <row r="152" spans="1:45" x14ac:dyDescent="0.3">
      <c r="A152" s="7"/>
      <c r="B152" s="7"/>
      <c r="C152" s="7"/>
      <c r="D152" s="12"/>
      <c r="E152" s="12"/>
      <c r="F152" s="12"/>
      <c r="G152" s="11"/>
      <c r="H152" s="11"/>
      <c r="I152" s="11"/>
      <c r="J152" s="7"/>
      <c r="K152" s="7"/>
      <c r="L152" s="7"/>
      <c r="M152" s="29"/>
      <c r="N152" s="32"/>
      <c r="O152" s="32"/>
      <c r="P152" s="32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</row>
    <row r="153" spans="1:45" x14ac:dyDescent="0.3">
      <c r="A153" s="7"/>
      <c r="B153" s="7"/>
      <c r="C153" s="7"/>
      <c r="D153" s="12"/>
      <c r="E153" s="12"/>
      <c r="F153" s="12"/>
      <c r="G153" s="11"/>
      <c r="H153" s="11"/>
      <c r="I153" s="11"/>
      <c r="J153" s="7"/>
      <c r="K153" s="7"/>
      <c r="L153" s="7"/>
      <c r="M153" s="29"/>
      <c r="N153" s="32"/>
      <c r="O153" s="32"/>
      <c r="P153" s="32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</row>
    <row r="154" spans="1:45" x14ac:dyDescent="0.3">
      <c r="A154" s="7"/>
      <c r="B154" s="7"/>
      <c r="C154" s="7"/>
      <c r="D154" s="12"/>
      <c r="E154" s="12"/>
      <c r="F154" s="12"/>
      <c r="G154" s="11"/>
      <c r="H154" s="11"/>
      <c r="I154" s="11"/>
      <c r="J154" s="7"/>
      <c r="K154" s="7"/>
      <c r="L154" s="7"/>
      <c r="M154" s="29"/>
      <c r="N154" s="32"/>
      <c r="O154" s="32"/>
      <c r="P154" s="32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</row>
    <row r="155" spans="1:45" x14ac:dyDescent="0.3">
      <c r="A155" s="7"/>
      <c r="B155" s="7"/>
      <c r="C155" s="7"/>
      <c r="D155" s="12"/>
      <c r="E155" s="12"/>
      <c r="F155" s="12"/>
      <c r="G155" s="11"/>
      <c r="H155" s="11"/>
      <c r="I155" s="11"/>
      <c r="J155" s="7"/>
      <c r="K155" s="7"/>
      <c r="L155" s="7"/>
      <c r="M155" s="29"/>
      <c r="N155" s="32"/>
      <c r="O155" s="32"/>
      <c r="P155" s="32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</row>
    <row r="156" spans="1:45" x14ac:dyDescent="0.3">
      <c r="A156" s="7"/>
      <c r="B156" s="7"/>
      <c r="C156" s="7"/>
      <c r="D156" s="12"/>
      <c r="E156" s="12"/>
      <c r="F156" s="12"/>
      <c r="G156" s="11"/>
      <c r="H156" s="11"/>
      <c r="I156" s="11"/>
      <c r="J156" s="7"/>
      <c r="K156" s="7"/>
      <c r="L156" s="7"/>
      <c r="M156" s="29"/>
      <c r="N156" s="32"/>
      <c r="O156" s="32"/>
      <c r="P156" s="32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45" x14ac:dyDescent="0.3">
      <c r="A157" s="7"/>
      <c r="B157" s="7"/>
      <c r="C157" s="7"/>
      <c r="D157" s="12"/>
      <c r="E157" s="12"/>
      <c r="F157" s="12"/>
      <c r="G157" s="11"/>
      <c r="H157" s="11"/>
      <c r="I157" s="11"/>
      <c r="J157" s="7"/>
      <c r="K157" s="7"/>
      <c r="L157" s="7"/>
      <c r="M157" s="29"/>
      <c r="N157" s="32"/>
      <c r="O157" s="32"/>
      <c r="P157" s="32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</row>
    <row r="158" spans="1:45" x14ac:dyDescent="0.3">
      <c r="A158" s="7"/>
      <c r="B158" s="7"/>
      <c r="C158" s="7"/>
      <c r="D158" s="12"/>
      <c r="E158" s="12"/>
      <c r="F158" s="12"/>
      <c r="G158" s="11"/>
      <c r="H158" s="11"/>
      <c r="I158" s="11"/>
      <c r="J158" s="7"/>
      <c r="K158" s="7"/>
      <c r="L158" s="7"/>
      <c r="M158" s="29"/>
      <c r="N158" s="32"/>
      <c r="O158" s="32"/>
      <c r="P158" s="32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</row>
    <row r="159" spans="1:45" x14ac:dyDescent="0.3">
      <c r="A159" s="7"/>
      <c r="B159" s="7"/>
      <c r="C159" s="7"/>
      <c r="D159" s="12"/>
      <c r="E159" s="12"/>
      <c r="F159" s="12"/>
      <c r="G159" s="11"/>
      <c r="H159" s="11"/>
      <c r="I159" s="11"/>
      <c r="J159" s="7"/>
      <c r="K159" s="7"/>
      <c r="L159" s="7"/>
      <c r="M159" s="29"/>
      <c r="N159" s="32"/>
      <c r="O159" s="32"/>
      <c r="P159" s="32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</row>
    <row r="160" spans="1:45" x14ac:dyDescent="0.3">
      <c r="A160" s="7"/>
      <c r="B160" s="7"/>
      <c r="C160" s="7"/>
      <c r="D160" s="12"/>
      <c r="E160" s="12"/>
      <c r="F160" s="12"/>
      <c r="G160" s="11"/>
      <c r="H160" s="11"/>
      <c r="I160" s="11"/>
      <c r="J160" s="7"/>
      <c r="K160" s="7"/>
      <c r="L160" s="7"/>
      <c r="M160" s="29"/>
      <c r="N160" s="32"/>
      <c r="O160" s="32"/>
      <c r="P160" s="32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</row>
    <row r="161" spans="1:45" x14ac:dyDescent="0.3">
      <c r="A161" s="7"/>
      <c r="B161" s="7"/>
      <c r="C161" s="7"/>
      <c r="D161" s="12"/>
      <c r="E161" s="12"/>
      <c r="F161" s="12"/>
      <c r="G161" s="11"/>
      <c r="H161" s="11"/>
      <c r="I161" s="11"/>
      <c r="J161" s="7"/>
      <c r="K161" s="7"/>
      <c r="L161" s="7"/>
      <c r="M161" s="29"/>
      <c r="N161" s="32"/>
      <c r="O161" s="32"/>
      <c r="P161" s="32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</row>
    <row r="162" spans="1:45" x14ac:dyDescent="0.3">
      <c r="A162" s="7"/>
      <c r="B162" s="7"/>
      <c r="C162" s="7"/>
      <c r="D162" s="12"/>
      <c r="E162" s="12"/>
      <c r="F162" s="12"/>
      <c r="G162" s="11"/>
      <c r="H162" s="11"/>
      <c r="I162" s="11"/>
      <c r="J162" s="7"/>
      <c r="K162" s="7"/>
      <c r="L162" s="7"/>
      <c r="M162" s="29"/>
      <c r="N162" s="32"/>
      <c r="O162" s="32"/>
      <c r="P162" s="32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</row>
    <row r="163" spans="1:45" x14ac:dyDescent="0.3">
      <c r="A163" s="7"/>
      <c r="B163" s="7"/>
      <c r="C163" s="7"/>
      <c r="D163" s="12"/>
      <c r="E163" s="12"/>
      <c r="F163" s="12"/>
      <c r="G163" s="11"/>
      <c r="H163" s="11"/>
      <c r="I163" s="11"/>
      <c r="J163" s="7"/>
      <c r="K163" s="7"/>
      <c r="L163" s="7"/>
      <c r="M163" s="29"/>
      <c r="N163" s="32"/>
      <c r="O163" s="32"/>
      <c r="P163" s="32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</row>
    <row r="164" spans="1:45" x14ac:dyDescent="0.3">
      <c r="A164" s="7"/>
      <c r="B164" s="7"/>
      <c r="C164" s="7"/>
      <c r="D164" s="12"/>
      <c r="E164" s="12"/>
      <c r="F164" s="12"/>
      <c r="G164" s="11"/>
      <c r="H164" s="11"/>
      <c r="I164" s="11"/>
      <c r="J164" s="7"/>
      <c r="K164" s="7"/>
      <c r="L164" s="7"/>
      <c r="M164" s="29"/>
      <c r="N164" s="32"/>
      <c r="O164" s="32"/>
      <c r="P164" s="32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</row>
    <row r="165" spans="1:45" x14ac:dyDescent="0.3">
      <c r="A165" s="7"/>
      <c r="B165" s="7"/>
      <c r="C165" s="7"/>
      <c r="D165" s="12"/>
      <c r="E165" s="12"/>
      <c r="F165" s="12"/>
      <c r="G165" s="11"/>
      <c r="H165" s="11"/>
      <c r="I165" s="11"/>
      <c r="J165" s="7"/>
      <c r="K165" s="7"/>
      <c r="L165" s="7"/>
      <c r="M165" s="29"/>
      <c r="N165" s="32"/>
      <c r="O165" s="32"/>
      <c r="P165" s="32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</row>
    <row r="166" spans="1:45" x14ac:dyDescent="0.3">
      <c r="A166" s="7"/>
      <c r="B166" s="7"/>
      <c r="C166" s="7"/>
      <c r="D166" s="12"/>
      <c r="E166" s="12"/>
      <c r="F166" s="12"/>
      <c r="G166" s="11"/>
      <c r="H166" s="11"/>
      <c r="I166" s="11"/>
      <c r="J166" s="7"/>
      <c r="K166" s="7"/>
      <c r="L166" s="7"/>
      <c r="M166" s="29"/>
      <c r="N166" s="32"/>
      <c r="O166" s="32"/>
      <c r="P166" s="32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</row>
    <row r="167" spans="1:45" x14ac:dyDescent="0.3">
      <c r="A167" s="7"/>
      <c r="B167" s="7"/>
      <c r="C167" s="7"/>
      <c r="D167" s="12"/>
      <c r="E167" s="12"/>
      <c r="F167" s="12"/>
      <c r="G167" s="11"/>
      <c r="H167" s="11"/>
      <c r="I167" s="11"/>
      <c r="J167" s="7"/>
      <c r="K167" s="7"/>
      <c r="L167" s="7"/>
      <c r="M167" s="29"/>
      <c r="N167" s="32"/>
      <c r="O167" s="32"/>
      <c r="P167" s="32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</row>
    <row r="168" spans="1:45" x14ac:dyDescent="0.3">
      <c r="A168" s="7"/>
      <c r="B168" s="7"/>
      <c r="C168" s="7"/>
      <c r="D168" s="12"/>
      <c r="E168" s="12"/>
      <c r="F168" s="12"/>
      <c r="G168" s="11"/>
      <c r="H168" s="11"/>
      <c r="I168" s="11"/>
      <c r="J168" s="7"/>
      <c r="K168" s="7"/>
      <c r="L168" s="7"/>
      <c r="M168" s="29"/>
      <c r="N168" s="32"/>
      <c r="O168" s="32"/>
      <c r="P168" s="32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</row>
    <row r="169" spans="1:45" x14ac:dyDescent="0.3">
      <c r="A169" s="7"/>
      <c r="B169" s="7"/>
      <c r="C169" s="7"/>
      <c r="D169" s="12"/>
      <c r="E169" s="12"/>
      <c r="F169" s="12"/>
      <c r="G169" s="11"/>
      <c r="H169" s="11"/>
      <c r="I169" s="11"/>
      <c r="J169" s="7"/>
      <c r="K169" s="7"/>
      <c r="L169" s="7"/>
      <c r="M169" s="29"/>
      <c r="N169" s="32"/>
      <c r="O169" s="32"/>
      <c r="P169" s="32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</row>
    <row r="170" spans="1:45" x14ac:dyDescent="0.3">
      <c r="A170" s="7"/>
      <c r="B170" s="7"/>
      <c r="C170" s="7"/>
      <c r="D170" s="12"/>
      <c r="E170" s="12"/>
      <c r="F170" s="12"/>
      <c r="G170" s="11"/>
      <c r="H170" s="11"/>
      <c r="I170" s="11"/>
      <c r="J170" s="7"/>
      <c r="K170" s="7"/>
      <c r="L170" s="7"/>
      <c r="M170" s="29"/>
      <c r="N170" s="32"/>
      <c r="O170" s="32"/>
      <c r="P170" s="32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</row>
    <row r="171" spans="1:45" x14ac:dyDescent="0.3">
      <c r="A171" s="7"/>
      <c r="B171" s="7"/>
      <c r="C171" s="7"/>
      <c r="D171" s="12"/>
      <c r="E171" s="12"/>
      <c r="F171" s="12"/>
      <c r="G171" s="11"/>
      <c r="H171" s="11"/>
      <c r="I171" s="11"/>
      <c r="J171" s="7"/>
      <c r="K171" s="7"/>
      <c r="L171" s="7"/>
      <c r="M171" s="29"/>
      <c r="N171" s="32"/>
      <c r="O171" s="32"/>
      <c r="P171" s="32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</row>
    <row r="172" spans="1:45" x14ac:dyDescent="0.3">
      <c r="A172" s="7"/>
      <c r="B172" s="7"/>
      <c r="C172" s="7"/>
      <c r="D172" s="12"/>
      <c r="E172" s="12"/>
      <c r="F172" s="12"/>
      <c r="G172" s="11"/>
      <c r="H172" s="11"/>
      <c r="I172" s="11"/>
      <c r="J172" s="7"/>
      <c r="K172" s="7"/>
      <c r="L172" s="7"/>
      <c r="M172" s="29"/>
      <c r="N172" s="32"/>
      <c r="O172" s="32"/>
      <c r="P172" s="32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</row>
    <row r="173" spans="1:45" x14ac:dyDescent="0.3">
      <c r="A173" s="7"/>
      <c r="B173" s="7"/>
      <c r="C173" s="7"/>
      <c r="D173" s="12"/>
      <c r="E173" s="12"/>
      <c r="F173" s="12"/>
      <c r="G173" s="11"/>
      <c r="H173" s="11"/>
      <c r="I173" s="11"/>
      <c r="J173" s="7"/>
      <c r="K173" s="7"/>
      <c r="L173" s="7"/>
      <c r="M173" s="29"/>
      <c r="N173" s="32"/>
      <c r="O173" s="32"/>
      <c r="P173" s="32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</row>
    <row r="174" spans="1:45" x14ac:dyDescent="0.3">
      <c r="A174" s="7"/>
      <c r="B174" s="7"/>
      <c r="C174" s="7"/>
      <c r="D174" s="12"/>
      <c r="E174" s="12"/>
      <c r="F174" s="12"/>
      <c r="G174" s="11"/>
      <c r="H174" s="11"/>
      <c r="I174" s="11"/>
      <c r="J174" s="7"/>
      <c r="K174" s="7"/>
      <c r="L174" s="7"/>
      <c r="M174" s="29"/>
      <c r="N174" s="32"/>
      <c r="O174" s="32"/>
      <c r="P174" s="32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</row>
    <row r="175" spans="1:45" x14ac:dyDescent="0.3">
      <c r="A175" s="7"/>
      <c r="B175" s="7"/>
      <c r="C175" s="7"/>
      <c r="D175" s="12"/>
      <c r="E175" s="12"/>
      <c r="F175" s="12"/>
      <c r="G175" s="11"/>
      <c r="H175" s="11"/>
      <c r="I175" s="11"/>
      <c r="J175" s="7"/>
      <c r="K175" s="7"/>
      <c r="L175" s="7"/>
      <c r="M175" s="29"/>
      <c r="N175" s="32"/>
      <c r="O175" s="32"/>
      <c r="P175" s="32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</row>
    <row r="176" spans="1:45" x14ac:dyDescent="0.3">
      <c r="A176" s="7"/>
      <c r="B176" s="7"/>
      <c r="C176" s="7"/>
      <c r="D176" s="12"/>
      <c r="E176" s="12"/>
      <c r="F176" s="12"/>
      <c r="G176" s="11"/>
      <c r="H176" s="11"/>
      <c r="I176" s="11"/>
      <c r="J176" s="7"/>
      <c r="K176" s="7"/>
      <c r="L176" s="7"/>
      <c r="M176" s="29"/>
      <c r="N176" s="32"/>
      <c r="O176" s="32"/>
      <c r="P176" s="32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</row>
    <row r="177" spans="1:45" x14ac:dyDescent="0.3">
      <c r="A177" s="7"/>
      <c r="B177" s="7"/>
      <c r="C177" s="7"/>
      <c r="D177" s="12"/>
      <c r="E177" s="12"/>
      <c r="F177" s="12"/>
      <c r="G177" s="11"/>
      <c r="H177" s="11"/>
      <c r="I177" s="11"/>
      <c r="J177" s="7"/>
      <c r="K177" s="7"/>
      <c r="L177" s="7"/>
      <c r="M177" s="29"/>
      <c r="N177" s="32"/>
      <c r="O177" s="32"/>
      <c r="P177" s="32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</row>
    <row r="178" spans="1:45" x14ac:dyDescent="0.3">
      <c r="A178" s="7"/>
      <c r="B178" s="7"/>
      <c r="C178" s="7"/>
      <c r="D178" s="12"/>
      <c r="E178" s="12"/>
      <c r="F178" s="12"/>
      <c r="G178" s="11"/>
      <c r="H178" s="11"/>
      <c r="I178" s="11"/>
      <c r="J178" s="7"/>
      <c r="K178" s="7"/>
      <c r="L178" s="7"/>
      <c r="M178" s="29"/>
      <c r="N178" s="32"/>
      <c r="O178" s="32"/>
      <c r="P178" s="32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</row>
    <row r="179" spans="1:45" x14ac:dyDescent="0.3">
      <c r="A179" s="7"/>
      <c r="B179" s="7"/>
      <c r="C179" s="7"/>
      <c r="D179" s="12"/>
      <c r="E179" s="12"/>
      <c r="F179" s="12"/>
      <c r="G179" s="11"/>
      <c r="H179" s="11"/>
      <c r="I179" s="11"/>
      <c r="J179" s="7"/>
      <c r="K179" s="7"/>
      <c r="L179" s="7"/>
      <c r="M179" s="29"/>
      <c r="N179" s="32"/>
      <c r="O179" s="32"/>
      <c r="P179" s="32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</row>
    <row r="180" spans="1:45" x14ac:dyDescent="0.3">
      <c r="A180" s="7"/>
      <c r="B180" s="7"/>
      <c r="C180" s="7"/>
      <c r="D180" s="12"/>
      <c r="E180" s="12"/>
      <c r="F180" s="12"/>
      <c r="G180" s="11"/>
      <c r="H180" s="11"/>
      <c r="I180" s="11"/>
      <c r="J180" s="7"/>
      <c r="K180" s="7"/>
      <c r="L180" s="7"/>
      <c r="M180" s="29"/>
      <c r="N180" s="32"/>
      <c r="O180" s="32"/>
      <c r="P180" s="32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</row>
    <row r="181" spans="1:45" x14ac:dyDescent="0.3">
      <c r="A181" s="7"/>
      <c r="B181" s="7"/>
      <c r="C181" s="7"/>
      <c r="D181" s="12"/>
      <c r="E181" s="12"/>
      <c r="F181" s="12"/>
      <c r="G181" s="11"/>
      <c r="H181" s="11"/>
      <c r="I181" s="11"/>
      <c r="J181" s="7"/>
      <c r="K181" s="7"/>
      <c r="L181" s="7"/>
      <c r="M181" s="29"/>
      <c r="N181" s="32"/>
      <c r="O181" s="32"/>
      <c r="P181" s="32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</row>
    <row r="182" spans="1:45" x14ac:dyDescent="0.3">
      <c r="A182" s="7"/>
      <c r="B182" s="7"/>
      <c r="C182" s="7"/>
      <c r="D182" s="12"/>
      <c r="E182" s="12"/>
      <c r="F182" s="12"/>
      <c r="G182" s="11"/>
      <c r="H182" s="11"/>
      <c r="I182" s="11"/>
      <c r="J182" s="7"/>
      <c r="K182" s="7"/>
      <c r="L182" s="7"/>
      <c r="M182" s="29"/>
      <c r="N182" s="32"/>
      <c r="O182" s="32"/>
      <c r="P182" s="32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</row>
    <row r="183" spans="1:45" x14ac:dyDescent="0.3">
      <c r="A183" s="7"/>
      <c r="B183" s="7"/>
      <c r="C183" s="7"/>
      <c r="D183" s="12"/>
      <c r="E183" s="12"/>
      <c r="F183" s="12"/>
      <c r="G183" s="11"/>
      <c r="H183" s="11"/>
      <c r="I183" s="11"/>
      <c r="J183" s="7"/>
      <c r="K183" s="7"/>
      <c r="L183" s="7"/>
      <c r="M183" s="29"/>
      <c r="N183" s="32"/>
      <c r="O183" s="32"/>
      <c r="P183" s="32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</row>
    <row r="184" spans="1:45" x14ac:dyDescent="0.3">
      <c r="A184" s="7"/>
      <c r="B184" s="7"/>
      <c r="C184" s="7"/>
      <c r="D184" s="12"/>
      <c r="E184" s="12"/>
      <c r="F184" s="12"/>
      <c r="G184" s="11"/>
      <c r="H184" s="11"/>
      <c r="I184" s="11"/>
      <c r="J184" s="7"/>
      <c r="K184" s="7"/>
      <c r="L184" s="7"/>
      <c r="M184" s="29"/>
      <c r="N184" s="32"/>
      <c r="O184" s="32"/>
      <c r="P184" s="32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</row>
    <row r="185" spans="1:45" x14ac:dyDescent="0.3">
      <c r="A185" s="7"/>
      <c r="B185" s="7"/>
      <c r="C185" s="7"/>
      <c r="D185" s="12"/>
      <c r="E185" s="12"/>
      <c r="F185" s="12"/>
      <c r="G185" s="11"/>
      <c r="H185" s="11"/>
      <c r="I185" s="11"/>
      <c r="J185" s="7"/>
      <c r="K185" s="7"/>
      <c r="L185" s="7"/>
      <c r="M185" s="29"/>
      <c r="N185" s="32"/>
      <c r="O185" s="32"/>
      <c r="P185" s="32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</row>
    <row r="186" spans="1:45" x14ac:dyDescent="0.3">
      <c r="A186" s="7"/>
      <c r="B186" s="7"/>
      <c r="C186" s="7"/>
      <c r="D186" s="12"/>
      <c r="E186" s="12"/>
      <c r="F186" s="12"/>
      <c r="G186" s="11"/>
      <c r="H186" s="11"/>
      <c r="I186" s="11"/>
      <c r="J186" s="7"/>
      <c r="K186" s="7"/>
      <c r="L186" s="7"/>
      <c r="M186" s="29"/>
      <c r="N186" s="32"/>
      <c r="O186" s="32"/>
      <c r="P186" s="32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</row>
    <row r="187" spans="1:45" x14ac:dyDescent="0.3">
      <c r="A187" s="7"/>
      <c r="B187" s="7"/>
      <c r="C187" s="7"/>
      <c r="D187" s="12"/>
      <c r="E187" s="12"/>
      <c r="F187" s="12"/>
      <c r="G187" s="11"/>
      <c r="H187" s="11"/>
      <c r="I187" s="11"/>
      <c r="J187" s="7"/>
      <c r="K187" s="7"/>
      <c r="L187" s="7"/>
      <c r="M187" s="29"/>
      <c r="N187" s="32"/>
      <c r="O187" s="32"/>
      <c r="P187" s="32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</row>
    <row r="188" spans="1:45" x14ac:dyDescent="0.3">
      <c r="A188" s="7"/>
      <c r="B188" s="7"/>
      <c r="C188" s="7"/>
      <c r="D188" s="12"/>
      <c r="E188" s="12"/>
      <c r="F188" s="12"/>
      <c r="G188" s="11"/>
      <c r="H188" s="11"/>
      <c r="I188" s="11"/>
      <c r="J188" s="7"/>
      <c r="K188" s="7"/>
      <c r="L188" s="7"/>
      <c r="M188" s="29"/>
      <c r="N188" s="32"/>
      <c r="O188" s="32"/>
      <c r="P188" s="32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</row>
    <row r="189" spans="1:45" x14ac:dyDescent="0.3">
      <c r="A189" s="7"/>
      <c r="B189" s="7"/>
      <c r="C189" s="7"/>
      <c r="D189" s="12"/>
      <c r="E189" s="12"/>
      <c r="F189" s="12"/>
      <c r="G189" s="11"/>
      <c r="H189" s="11"/>
      <c r="I189" s="11"/>
      <c r="J189" s="7"/>
      <c r="K189" s="7"/>
      <c r="L189" s="7"/>
      <c r="M189" s="29"/>
      <c r="N189" s="32"/>
      <c r="O189" s="32"/>
      <c r="P189" s="32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</row>
    <row r="190" spans="1:45" x14ac:dyDescent="0.3">
      <c r="A190" s="7"/>
      <c r="B190" s="7"/>
      <c r="C190" s="7"/>
      <c r="D190" s="12"/>
      <c r="E190" s="12"/>
      <c r="F190" s="12"/>
      <c r="G190" s="11"/>
      <c r="H190" s="11"/>
      <c r="I190" s="11"/>
      <c r="J190" s="7"/>
      <c r="K190" s="7"/>
      <c r="L190" s="7"/>
      <c r="M190" s="29"/>
      <c r="N190" s="32"/>
      <c r="O190" s="32"/>
      <c r="P190" s="32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</row>
    <row r="191" spans="1:45" x14ac:dyDescent="0.3">
      <c r="A191" s="7"/>
      <c r="B191" s="7"/>
      <c r="C191" s="7"/>
      <c r="D191" s="12"/>
      <c r="E191" s="12"/>
      <c r="F191" s="12"/>
      <c r="G191" s="11"/>
      <c r="H191" s="11"/>
      <c r="I191" s="11"/>
      <c r="J191" s="7"/>
      <c r="K191" s="7"/>
      <c r="L191" s="7"/>
      <c r="M191" s="29"/>
      <c r="N191" s="32"/>
      <c r="O191" s="32"/>
      <c r="P191" s="32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</row>
    <row r="192" spans="1:45" x14ac:dyDescent="0.3">
      <c r="A192" s="7"/>
      <c r="B192" s="7"/>
      <c r="C192" s="7"/>
      <c r="D192" s="12"/>
      <c r="E192" s="12"/>
      <c r="F192" s="12"/>
      <c r="G192" s="11"/>
      <c r="H192" s="11"/>
      <c r="I192" s="11"/>
      <c r="J192" s="7"/>
      <c r="K192" s="7"/>
      <c r="L192" s="7"/>
      <c r="M192" s="29"/>
      <c r="N192" s="32"/>
      <c r="O192" s="32"/>
      <c r="P192" s="32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</row>
    <row r="193" spans="1:45" x14ac:dyDescent="0.3">
      <c r="A193" s="7"/>
      <c r="B193" s="7"/>
      <c r="C193" s="7"/>
      <c r="D193" s="12"/>
      <c r="E193" s="12"/>
      <c r="F193" s="12"/>
      <c r="G193" s="11"/>
      <c r="H193" s="11"/>
      <c r="I193" s="11"/>
      <c r="J193" s="7"/>
      <c r="K193" s="7"/>
      <c r="L193" s="7"/>
      <c r="M193" s="29"/>
      <c r="N193" s="32"/>
      <c r="O193" s="32"/>
      <c r="P193" s="32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</row>
    <row r="194" spans="1:45" x14ac:dyDescent="0.3">
      <c r="A194" s="7"/>
      <c r="B194" s="7"/>
      <c r="C194" s="7"/>
      <c r="D194" s="12"/>
      <c r="E194" s="12"/>
      <c r="F194" s="12"/>
      <c r="G194" s="11"/>
      <c r="H194" s="11"/>
      <c r="I194" s="11"/>
      <c r="J194" s="7"/>
      <c r="K194" s="7"/>
      <c r="L194" s="7"/>
      <c r="M194" s="29"/>
      <c r="N194" s="32"/>
      <c r="O194" s="32"/>
      <c r="P194" s="32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</row>
    <row r="195" spans="1:45" x14ac:dyDescent="0.3">
      <c r="A195" s="7"/>
      <c r="B195" s="7"/>
      <c r="C195" s="7"/>
      <c r="D195" s="12"/>
      <c r="E195" s="12"/>
      <c r="F195" s="12"/>
      <c r="G195" s="11"/>
      <c r="H195" s="11"/>
      <c r="I195" s="11"/>
      <c r="J195" s="7"/>
      <c r="K195" s="7"/>
      <c r="L195" s="7"/>
      <c r="M195" s="29"/>
      <c r="N195" s="32"/>
      <c r="O195" s="32"/>
      <c r="P195" s="32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</row>
    <row r="196" spans="1:45" x14ac:dyDescent="0.3">
      <c r="A196" s="7"/>
      <c r="B196" s="7"/>
      <c r="C196" s="7"/>
      <c r="D196" s="12"/>
      <c r="E196" s="12"/>
      <c r="F196" s="12"/>
      <c r="G196" s="11"/>
      <c r="H196" s="11"/>
      <c r="I196" s="11"/>
      <c r="J196" s="7"/>
      <c r="K196" s="7"/>
      <c r="L196" s="7"/>
      <c r="M196" s="29"/>
      <c r="N196" s="32"/>
      <c r="O196" s="32"/>
      <c r="P196" s="32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</row>
    <row r="197" spans="1:45" x14ac:dyDescent="0.3">
      <c r="A197" s="7"/>
      <c r="B197" s="7"/>
      <c r="C197" s="7"/>
      <c r="D197" s="12"/>
      <c r="E197" s="12"/>
      <c r="F197" s="12"/>
      <c r="G197" s="11"/>
      <c r="H197" s="11"/>
      <c r="I197" s="11"/>
      <c r="J197" s="7"/>
      <c r="K197" s="7"/>
      <c r="L197" s="7"/>
      <c r="M197" s="29"/>
      <c r="N197" s="32"/>
      <c r="O197" s="32"/>
      <c r="P197" s="32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</row>
    <row r="198" spans="1:45" x14ac:dyDescent="0.3">
      <c r="A198" s="7"/>
      <c r="B198" s="7"/>
      <c r="C198" s="7"/>
      <c r="D198" s="12"/>
      <c r="E198" s="12"/>
      <c r="F198" s="12"/>
      <c r="G198" s="11"/>
      <c r="H198" s="11"/>
      <c r="I198" s="11"/>
      <c r="J198" s="7"/>
      <c r="K198" s="7"/>
      <c r="L198" s="7"/>
      <c r="M198" s="29"/>
      <c r="N198" s="32"/>
      <c r="O198" s="32"/>
      <c r="P198" s="32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</row>
    <row r="199" spans="1:45" x14ac:dyDescent="0.3">
      <c r="A199" s="7"/>
      <c r="B199" s="7"/>
      <c r="C199" s="7"/>
      <c r="D199" s="12"/>
      <c r="E199" s="12"/>
      <c r="F199" s="12"/>
      <c r="G199" s="11"/>
      <c r="H199" s="11"/>
      <c r="I199" s="11"/>
      <c r="J199" s="7"/>
      <c r="K199" s="7"/>
      <c r="L199" s="7"/>
      <c r="M199" s="29"/>
      <c r="N199" s="32"/>
      <c r="O199" s="32"/>
      <c r="P199" s="32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</row>
    <row r="200" spans="1:45" x14ac:dyDescent="0.3">
      <c r="A200" s="7"/>
      <c r="B200" s="7"/>
      <c r="C200" s="7"/>
      <c r="D200" s="12"/>
      <c r="E200" s="12"/>
      <c r="F200" s="12"/>
      <c r="G200" s="11"/>
      <c r="H200" s="11"/>
      <c r="I200" s="11"/>
      <c r="J200" s="7"/>
      <c r="K200" s="7"/>
      <c r="L200" s="7"/>
      <c r="M200" s="29"/>
      <c r="N200" s="32"/>
      <c r="O200" s="32"/>
      <c r="P200" s="32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</row>
    <row r="201" spans="1:45" x14ac:dyDescent="0.3">
      <c r="A201" s="7"/>
      <c r="B201" s="7"/>
      <c r="C201" s="7"/>
      <c r="D201" s="12"/>
      <c r="E201" s="12"/>
      <c r="F201" s="12"/>
      <c r="G201" s="11"/>
      <c r="H201" s="11"/>
      <c r="I201" s="11"/>
      <c r="J201" s="7"/>
      <c r="K201" s="7"/>
      <c r="L201" s="7"/>
      <c r="M201" s="29"/>
      <c r="N201" s="32"/>
      <c r="O201" s="32"/>
      <c r="P201" s="32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</row>
    <row r="202" spans="1:45" x14ac:dyDescent="0.3">
      <c r="A202" s="7"/>
      <c r="B202" s="7"/>
      <c r="C202" s="7"/>
      <c r="D202" s="12"/>
      <c r="E202" s="12"/>
      <c r="F202" s="12"/>
      <c r="G202" s="11"/>
      <c r="H202" s="11"/>
      <c r="I202" s="11"/>
      <c r="J202" s="7"/>
      <c r="K202" s="7"/>
      <c r="L202" s="7"/>
      <c r="M202" s="29"/>
      <c r="N202" s="32"/>
      <c r="O202" s="32"/>
      <c r="P202" s="32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</row>
    <row r="203" spans="1:45" x14ac:dyDescent="0.3">
      <c r="A203" s="7"/>
      <c r="B203" s="7"/>
      <c r="C203" s="7"/>
      <c r="D203" s="12"/>
      <c r="E203" s="12"/>
      <c r="F203" s="12"/>
      <c r="G203" s="11"/>
      <c r="H203" s="11"/>
      <c r="I203" s="11"/>
      <c r="J203" s="7"/>
      <c r="K203" s="7"/>
      <c r="L203" s="7"/>
      <c r="M203" s="29"/>
      <c r="N203" s="32"/>
      <c r="O203" s="32"/>
      <c r="P203" s="32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</row>
    <row r="204" spans="1:45" x14ac:dyDescent="0.3">
      <c r="A204" s="7"/>
      <c r="B204" s="7"/>
      <c r="C204" s="7"/>
      <c r="D204" s="12"/>
      <c r="E204" s="12"/>
      <c r="F204" s="12"/>
      <c r="G204" s="11"/>
      <c r="H204" s="11"/>
      <c r="I204" s="11"/>
      <c r="J204" s="7"/>
      <c r="K204" s="7"/>
      <c r="L204" s="7"/>
      <c r="M204" s="29"/>
      <c r="N204" s="32"/>
      <c r="O204" s="32"/>
      <c r="P204" s="32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</row>
    <row r="205" spans="1:45" x14ac:dyDescent="0.3">
      <c r="A205" s="7"/>
      <c r="B205" s="7"/>
      <c r="C205" s="7"/>
      <c r="D205" s="12"/>
      <c r="E205" s="12"/>
      <c r="F205" s="12"/>
      <c r="G205" s="11"/>
      <c r="H205" s="11"/>
      <c r="I205" s="11"/>
      <c r="J205" s="7"/>
      <c r="K205" s="7"/>
      <c r="L205" s="7"/>
      <c r="M205" s="29"/>
      <c r="N205" s="32"/>
      <c r="O205" s="32"/>
      <c r="P205" s="32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</row>
    <row r="206" spans="1:45" x14ac:dyDescent="0.3">
      <c r="A206" s="7"/>
      <c r="B206" s="7"/>
      <c r="C206" s="7"/>
      <c r="D206" s="12"/>
      <c r="E206" s="12"/>
      <c r="F206" s="12"/>
      <c r="G206" s="11"/>
      <c r="H206" s="11"/>
      <c r="I206" s="11"/>
      <c r="J206" s="7"/>
      <c r="K206" s="7"/>
      <c r="L206" s="7"/>
      <c r="M206" s="29"/>
      <c r="N206" s="32"/>
      <c r="O206" s="32"/>
      <c r="P206" s="32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</row>
    <row r="207" spans="1:45" x14ac:dyDescent="0.3">
      <c r="A207" s="7"/>
      <c r="B207" s="7"/>
      <c r="C207" s="7"/>
      <c r="D207" s="12"/>
      <c r="E207" s="12"/>
      <c r="F207" s="12"/>
      <c r="G207" s="11"/>
      <c r="H207" s="11"/>
      <c r="I207" s="11"/>
      <c r="J207" s="7"/>
      <c r="K207" s="7"/>
      <c r="L207" s="7"/>
      <c r="M207" s="29"/>
      <c r="N207" s="32"/>
      <c r="O207" s="32"/>
      <c r="P207" s="32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</row>
    <row r="208" spans="1:45" x14ac:dyDescent="0.3">
      <c r="A208" s="7"/>
      <c r="B208" s="7"/>
      <c r="C208" s="7"/>
      <c r="D208" s="12"/>
      <c r="E208" s="12"/>
      <c r="F208" s="12"/>
      <c r="G208" s="11"/>
      <c r="H208" s="11"/>
      <c r="I208" s="11"/>
      <c r="J208" s="7"/>
      <c r="K208" s="7"/>
      <c r="L208" s="7"/>
      <c r="M208" s="29"/>
      <c r="N208" s="32"/>
      <c r="O208" s="32"/>
      <c r="P208" s="32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</row>
    <row r="209" spans="1:45" x14ac:dyDescent="0.3">
      <c r="A209" s="7"/>
      <c r="B209" s="7"/>
      <c r="C209" s="7"/>
      <c r="D209" s="12"/>
      <c r="E209" s="12"/>
      <c r="F209" s="12"/>
      <c r="G209" s="11"/>
      <c r="H209" s="11"/>
      <c r="I209" s="11"/>
      <c r="J209" s="7"/>
      <c r="K209" s="7"/>
      <c r="L209" s="7"/>
      <c r="M209" s="29"/>
      <c r="N209" s="32"/>
      <c r="O209" s="32"/>
      <c r="P209" s="32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</row>
    <row r="210" spans="1:45" x14ac:dyDescent="0.3">
      <c r="A210" s="7"/>
      <c r="B210" s="7"/>
      <c r="C210" s="7"/>
      <c r="D210" s="12"/>
      <c r="E210" s="12"/>
      <c r="F210" s="12"/>
      <c r="G210" s="11"/>
      <c r="H210" s="11"/>
      <c r="I210" s="11"/>
      <c r="J210" s="7"/>
      <c r="K210" s="7"/>
      <c r="L210" s="7"/>
      <c r="M210" s="29"/>
      <c r="N210" s="32"/>
      <c r="O210" s="32"/>
      <c r="P210" s="32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</row>
    <row r="211" spans="1:45" x14ac:dyDescent="0.3">
      <c r="A211" s="7"/>
      <c r="B211" s="7"/>
      <c r="C211" s="7"/>
      <c r="D211" s="12"/>
      <c r="E211" s="12"/>
      <c r="F211" s="12"/>
      <c r="G211" s="11"/>
      <c r="H211" s="11"/>
      <c r="I211" s="11"/>
      <c r="J211" s="7"/>
      <c r="K211" s="7"/>
      <c r="L211" s="7"/>
      <c r="M211" s="29"/>
      <c r="N211" s="32"/>
      <c r="O211" s="32"/>
      <c r="P211" s="32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</row>
    <row r="212" spans="1:45" x14ac:dyDescent="0.3">
      <c r="A212" s="7"/>
      <c r="B212" s="7"/>
      <c r="C212" s="7"/>
      <c r="D212" s="12"/>
      <c r="E212" s="12"/>
      <c r="F212" s="12"/>
      <c r="G212" s="11"/>
      <c r="H212" s="11"/>
      <c r="I212" s="11"/>
      <c r="J212" s="7"/>
      <c r="K212" s="7"/>
      <c r="L212" s="7"/>
      <c r="M212" s="29"/>
      <c r="N212" s="32"/>
      <c r="O212" s="32"/>
      <c r="P212" s="32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</row>
    <row r="213" spans="1:45" x14ac:dyDescent="0.3">
      <c r="A213" s="7"/>
      <c r="B213" s="7"/>
      <c r="C213" s="7"/>
      <c r="D213" s="12"/>
      <c r="E213" s="12"/>
      <c r="F213" s="12"/>
      <c r="G213" s="11"/>
      <c r="H213" s="11"/>
      <c r="I213" s="11"/>
      <c r="J213" s="7"/>
      <c r="K213" s="7"/>
      <c r="L213" s="7"/>
      <c r="M213" s="29"/>
      <c r="N213" s="32"/>
      <c r="O213" s="32"/>
      <c r="P213" s="32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</row>
    <row r="214" spans="1:45" x14ac:dyDescent="0.3">
      <c r="A214" s="7"/>
      <c r="B214" s="7"/>
      <c r="C214" s="7"/>
      <c r="D214" s="12"/>
      <c r="E214" s="12"/>
      <c r="F214" s="12"/>
      <c r="G214" s="11"/>
      <c r="H214" s="11"/>
      <c r="I214" s="11"/>
      <c r="J214" s="7"/>
      <c r="K214" s="7"/>
      <c r="L214" s="7"/>
      <c r="M214" s="29"/>
      <c r="N214" s="32"/>
      <c r="O214" s="32"/>
      <c r="P214" s="32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</row>
    <row r="215" spans="1:45" x14ac:dyDescent="0.3">
      <c r="A215" s="7"/>
      <c r="B215" s="7"/>
      <c r="C215" s="7"/>
      <c r="D215" s="12"/>
      <c r="E215" s="12"/>
      <c r="F215" s="12"/>
      <c r="G215" s="11"/>
      <c r="H215" s="11"/>
      <c r="I215" s="11"/>
      <c r="J215" s="7"/>
      <c r="K215" s="7"/>
      <c r="L215" s="7"/>
      <c r="M215" s="29"/>
      <c r="N215" s="32"/>
      <c r="O215" s="32"/>
      <c r="P215" s="32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</row>
    <row r="216" spans="1:45" x14ac:dyDescent="0.3">
      <c r="A216" s="7"/>
      <c r="B216" s="7"/>
      <c r="C216" s="7"/>
      <c r="D216" s="12"/>
      <c r="E216" s="12"/>
      <c r="F216" s="12"/>
      <c r="G216" s="11"/>
      <c r="H216" s="11"/>
      <c r="I216" s="11"/>
      <c r="J216" s="7"/>
      <c r="K216" s="7"/>
      <c r="L216" s="7"/>
      <c r="M216" s="29"/>
      <c r="N216" s="32"/>
      <c r="O216" s="32"/>
      <c r="P216" s="32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</row>
    <row r="217" spans="1:45" x14ac:dyDescent="0.3">
      <c r="A217" s="7"/>
      <c r="B217" s="7"/>
      <c r="C217" s="7"/>
      <c r="D217" s="12"/>
      <c r="E217" s="12"/>
      <c r="F217" s="12"/>
      <c r="G217" s="11"/>
      <c r="H217" s="11"/>
      <c r="I217" s="11"/>
      <c r="J217" s="7"/>
      <c r="K217" s="7"/>
      <c r="L217" s="7"/>
      <c r="M217" s="29"/>
      <c r="N217" s="32"/>
      <c r="O217" s="32"/>
      <c r="P217" s="32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</row>
    <row r="218" spans="1:45" x14ac:dyDescent="0.3">
      <c r="A218" s="7"/>
      <c r="B218" s="7"/>
      <c r="C218" s="7"/>
      <c r="D218" s="12"/>
      <c r="E218" s="12"/>
      <c r="F218" s="12"/>
      <c r="G218" s="11"/>
      <c r="H218" s="11"/>
      <c r="I218" s="11"/>
      <c r="J218" s="7"/>
      <c r="K218" s="7"/>
      <c r="L218" s="7"/>
      <c r="M218" s="29"/>
      <c r="N218" s="32"/>
      <c r="O218" s="32"/>
      <c r="P218" s="32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</row>
    <row r="219" spans="1:45" x14ac:dyDescent="0.3">
      <c r="A219" s="7"/>
      <c r="B219" s="7"/>
      <c r="C219" s="7"/>
      <c r="D219" s="12"/>
      <c r="E219" s="12"/>
      <c r="F219" s="12"/>
      <c r="G219" s="11"/>
      <c r="H219" s="11"/>
      <c r="I219" s="11"/>
      <c r="J219" s="7"/>
      <c r="K219" s="7"/>
      <c r="L219" s="7"/>
      <c r="M219" s="29"/>
      <c r="N219" s="32"/>
      <c r="O219" s="32"/>
      <c r="P219" s="32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</row>
    <row r="220" spans="1:45" x14ac:dyDescent="0.3">
      <c r="A220" s="7"/>
      <c r="B220" s="7"/>
      <c r="C220" s="7"/>
      <c r="D220" s="12"/>
      <c r="E220" s="12"/>
      <c r="F220" s="12"/>
      <c r="G220" s="11"/>
      <c r="H220" s="11"/>
      <c r="I220" s="11"/>
      <c r="J220" s="7"/>
      <c r="K220" s="7"/>
      <c r="L220" s="7"/>
      <c r="M220" s="29"/>
      <c r="N220" s="32"/>
      <c r="O220" s="32"/>
      <c r="P220" s="32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</row>
    <row r="221" spans="1:45" x14ac:dyDescent="0.3">
      <c r="A221" s="7"/>
      <c r="B221" s="7"/>
      <c r="C221" s="7"/>
      <c r="D221" s="12"/>
      <c r="E221" s="12"/>
      <c r="F221" s="12"/>
      <c r="G221" s="11"/>
      <c r="H221" s="11"/>
      <c r="I221" s="11"/>
      <c r="J221" s="7"/>
      <c r="K221" s="7"/>
      <c r="L221" s="7"/>
      <c r="M221" s="29"/>
      <c r="N221" s="32"/>
      <c r="O221" s="32"/>
      <c r="P221" s="32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</row>
    <row r="222" spans="1:45" x14ac:dyDescent="0.3">
      <c r="A222" s="7"/>
      <c r="B222" s="7"/>
      <c r="C222" s="7"/>
      <c r="D222" s="12"/>
      <c r="E222" s="12"/>
      <c r="F222" s="12"/>
      <c r="G222" s="11"/>
      <c r="H222" s="11"/>
      <c r="I222" s="11"/>
      <c r="J222" s="7"/>
      <c r="K222" s="7"/>
      <c r="L222" s="7"/>
      <c r="M222" s="29"/>
      <c r="N222" s="32"/>
      <c r="O222" s="32"/>
      <c r="P222" s="32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</row>
    <row r="223" spans="1:45" x14ac:dyDescent="0.3">
      <c r="A223" s="7"/>
      <c r="B223" s="7"/>
      <c r="C223" s="7"/>
      <c r="D223" s="12"/>
      <c r="E223" s="12"/>
      <c r="F223" s="12"/>
      <c r="G223" s="11"/>
      <c r="H223" s="11"/>
      <c r="I223" s="11"/>
      <c r="J223" s="7"/>
      <c r="K223" s="7"/>
      <c r="L223" s="7"/>
      <c r="M223" s="29"/>
      <c r="N223" s="32"/>
      <c r="O223" s="32"/>
      <c r="P223" s="32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</row>
    <row r="224" spans="1:45" x14ac:dyDescent="0.3">
      <c r="A224" s="7"/>
      <c r="B224" s="7"/>
      <c r="C224" s="7"/>
      <c r="D224" s="12"/>
      <c r="E224" s="12"/>
      <c r="F224" s="12"/>
      <c r="G224" s="11"/>
      <c r="H224" s="11"/>
      <c r="I224" s="11"/>
      <c r="J224" s="7"/>
      <c r="K224" s="7"/>
      <c r="L224" s="7"/>
      <c r="M224" s="29"/>
      <c r="N224" s="32"/>
      <c r="O224" s="32"/>
      <c r="P224" s="32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</row>
    <row r="225" spans="1:45" x14ac:dyDescent="0.3">
      <c r="A225" s="7"/>
      <c r="B225" s="7"/>
      <c r="C225" s="7"/>
      <c r="D225" s="12"/>
      <c r="E225" s="12"/>
      <c r="F225" s="12"/>
      <c r="G225" s="11"/>
      <c r="H225" s="11"/>
      <c r="I225" s="11"/>
      <c r="J225" s="7"/>
      <c r="K225" s="7"/>
      <c r="L225" s="7"/>
      <c r="M225" s="29"/>
      <c r="N225" s="32"/>
      <c r="O225" s="32"/>
      <c r="P225" s="32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</row>
    <row r="226" spans="1:45" x14ac:dyDescent="0.3">
      <c r="A226" s="7"/>
      <c r="B226" s="7"/>
      <c r="C226" s="7"/>
      <c r="D226" s="12"/>
      <c r="E226" s="12"/>
      <c r="F226" s="12"/>
      <c r="G226" s="11"/>
      <c r="H226" s="11"/>
      <c r="I226" s="11"/>
      <c r="J226" s="7"/>
      <c r="K226" s="7"/>
      <c r="L226" s="7"/>
      <c r="M226" s="29"/>
      <c r="N226" s="32"/>
      <c r="O226" s="32"/>
      <c r="P226" s="32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</row>
    <row r="227" spans="1:45" x14ac:dyDescent="0.3">
      <c r="A227" s="7"/>
      <c r="B227" s="7"/>
      <c r="C227" s="7"/>
      <c r="D227" s="12"/>
      <c r="E227" s="12"/>
      <c r="F227" s="12"/>
      <c r="G227" s="11"/>
      <c r="H227" s="11"/>
      <c r="I227" s="11"/>
      <c r="J227" s="7"/>
      <c r="K227" s="7"/>
      <c r="L227" s="7"/>
      <c r="M227" s="29"/>
      <c r="N227" s="32"/>
      <c r="O227" s="32"/>
      <c r="P227" s="32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</row>
    <row r="228" spans="1:45" x14ac:dyDescent="0.3">
      <c r="A228" s="7"/>
      <c r="B228" s="7"/>
      <c r="C228" s="7"/>
      <c r="D228" s="12"/>
      <c r="E228" s="12"/>
      <c r="F228" s="12"/>
      <c r="G228" s="11"/>
      <c r="H228" s="11"/>
      <c r="I228" s="11"/>
      <c r="J228" s="7"/>
      <c r="K228" s="7"/>
      <c r="L228" s="7"/>
      <c r="M228" s="29"/>
      <c r="N228" s="32"/>
      <c r="O228" s="32"/>
      <c r="P228" s="32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</row>
    <row r="229" spans="1:45" x14ac:dyDescent="0.3">
      <c r="A229" s="7"/>
      <c r="B229" s="7"/>
      <c r="C229" s="7"/>
      <c r="D229" s="12"/>
      <c r="E229" s="12"/>
      <c r="F229" s="12"/>
      <c r="G229" s="11"/>
      <c r="H229" s="11"/>
      <c r="I229" s="11"/>
      <c r="J229" s="7"/>
      <c r="K229" s="7"/>
      <c r="L229" s="7"/>
      <c r="M229" s="29"/>
      <c r="N229" s="32"/>
      <c r="O229" s="32"/>
      <c r="P229" s="32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</row>
    <row r="230" spans="1:45" x14ac:dyDescent="0.3">
      <c r="A230" s="7"/>
      <c r="B230" s="7"/>
      <c r="C230" s="7"/>
      <c r="D230" s="12"/>
      <c r="E230" s="12"/>
      <c r="F230" s="12"/>
      <c r="G230" s="11"/>
      <c r="H230" s="11"/>
      <c r="I230" s="11"/>
      <c r="J230" s="7"/>
      <c r="K230" s="7"/>
      <c r="L230" s="7"/>
      <c r="M230" s="29"/>
      <c r="N230" s="32"/>
      <c r="O230" s="32"/>
      <c r="P230" s="32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</row>
    <row r="231" spans="1:45" x14ac:dyDescent="0.3">
      <c r="A231" s="7"/>
      <c r="B231" s="7"/>
      <c r="C231" s="7"/>
      <c r="D231" s="12"/>
      <c r="E231" s="12"/>
      <c r="F231" s="12"/>
      <c r="G231" s="11"/>
      <c r="H231" s="11"/>
      <c r="I231" s="11"/>
      <c r="J231" s="7"/>
      <c r="K231" s="7"/>
      <c r="L231" s="7"/>
      <c r="M231" s="29"/>
      <c r="N231" s="32"/>
      <c r="O231" s="32"/>
      <c r="P231" s="32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</row>
    <row r="232" spans="1:45" x14ac:dyDescent="0.3">
      <c r="A232" s="7"/>
      <c r="B232" s="7"/>
      <c r="C232" s="7"/>
      <c r="D232" s="12"/>
      <c r="E232" s="12"/>
      <c r="F232" s="12"/>
      <c r="G232" s="11"/>
      <c r="H232" s="11"/>
      <c r="I232" s="11"/>
      <c r="J232" s="7"/>
      <c r="K232" s="7"/>
      <c r="L232" s="7"/>
      <c r="M232" s="29"/>
      <c r="N232" s="32"/>
      <c r="O232" s="32"/>
      <c r="P232" s="32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</row>
    <row r="233" spans="1:45" x14ac:dyDescent="0.3">
      <c r="A233" s="7"/>
      <c r="B233" s="7"/>
      <c r="C233" s="7"/>
      <c r="D233" s="12"/>
      <c r="E233" s="12"/>
      <c r="F233" s="12"/>
      <c r="G233" s="11"/>
      <c r="H233" s="11"/>
      <c r="I233" s="11"/>
      <c r="J233" s="7"/>
      <c r="K233" s="7"/>
      <c r="L233" s="7"/>
      <c r="M233" s="29"/>
      <c r="N233" s="32"/>
      <c r="O233" s="32"/>
      <c r="P233" s="32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</row>
    <row r="234" spans="1:45" x14ac:dyDescent="0.3">
      <c r="A234" s="7"/>
      <c r="B234" s="7"/>
      <c r="C234" s="7"/>
      <c r="D234" s="12"/>
      <c r="E234" s="12"/>
      <c r="F234" s="12"/>
      <c r="G234" s="11"/>
      <c r="H234" s="11"/>
      <c r="I234" s="11"/>
      <c r="J234" s="7"/>
      <c r="K234" s="7"/>
      <c r="L234" s="7"/>
      <c r="M234" s="29"/>
      <c r="N234" s="32"/>
      <c r="O234" s="32"/>
      <c r="P234" s="32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</row>
    <row r="235" spans="1:45" x14ac:dyDescent="0.3">
      <c r="A235" s="7"/>
      <c r="B235" s="7"/>
      <c r="C235" s="7"/>
      <c r="D235" s="12"/>
      <c r="E235" s="12"/>
      <c r="F235" s="12"/>
      <c r="G235" s="11"/>
      <c r="H235" s="11"/>
      <c r="I235" s="11"/>
      <c r="J235" s="7"/>
      <c r="K235" s="7"/>
      <c r="L235" s="7"/>
      <c r="M235" s="29"/>
      <c r="N235" s="32"/>
      <c r="O235" s="32"/>
      <c r="P235" s="32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</row>
    <row r="236" spans="1:45" x14ac:dyDescent="0.3">
      <c r="A236" s="7"/>
      <c r="B236" s="7"/>
      <c r="C236" s="7"/>
      <c r="D236" s="12"/>
      <c r="E236" s="12"/>
      <c r="F236" s="12"/>
      <c r="G236" s="11"/>
      <c r="H236" s="11"/>
      <c r="I236" s="11"/>
      <c r="J236" s="7"/>
      <c r="K236" s="7"/>
      <c r="L236" s="7"/>
      <c r="M236" s="29"/>
      <c r="N236" s="32"/>
      <c r="O236" s="32"/>
      <c r="P236" s="32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</row>
    <row r="237" spans="1:45" x14ac:dyDescent="0.3">
      <c r="A237" s="7"/>
      <c r="B237" s="7"/>
      <c r="C237" s="7"/>
      <c r="D237" s="12"/>
      <c r="E237" s="12"/>
      <c r="F237" s="12"/>
      <c r="G237" s="11"/>
      <c r="H237" s="11"/>
      <c r="I237" s="11"/>
      <c r="J237" s="7"/>
      <c r="K237" s="7"/>
      <c r="L237" s="7"/>
      <c r="M237" s="29"/>
      <c r="N237" s="32"/>
      <c r="O237" s="32"/>
      <c r="P237" s="32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</row>
    <row r="238" spans="1:45" x14ac:dyDescent="0.3">
      <c r="A238" s="7"/>
      <c r="B238" s="7"/>
      <c r="C238" s="7"/>
      <c r="D238" s="12"/>
      <c r="E238" s="12"/>
      <c r="F238" s="12"/>
      <c r="G238" s="11"/>
      <c r="H238" s="11"/>
      <c r="I238" s="11"/>
      <c r="J238" s="7"/>
      <c r="K238" s="7"/>
      <c r="L238" s="7"/>
      <c r="M238" s="29"/>
      <c r="N238" s="32"/>
      <c r="O238" s="32"/>
      <c r="P238" s="32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</row>
    <row r="239" spans="1:45" x14ac:dyDescent="0.3">
      <c r="A239" s="7"/>
      <c r="B239" s="7"/>
      <c r="C239" s="7"/>
      <c r="D239" s="12"/>
      <c r="E239" s="12"/>
      <c r="F239" s="12"/>
      <c r="G239" s="11"/>
      <c r="H239" s="11"/>
      <c r="I239" s="11"/>
      <c r="J239" s="7"/>
      <c r="K239" s="7"/>
      <c r="L239" s="7"/>
      <c r="M239" s="29"/>
      <c r="N239" s="32"/>
      <c r="O239" s="32"/>
      <c r="P239" s="32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</row>
    <row r="240" spans="1:45" x14ac:dyDescent="0.3">
      <c r="A240" s="7"/>
      <c r="B240" s="7"/>
      <c r="C240" s="7"/>
      <c r="D240" s="12"/>
      <c r="E240" s="12"/>
      <c r="F240" s="12"/>
      <c r="G240" s="11"/>
      <c r="H240" s="11"/>
      <c r="I240" s="11"/>
      <c r="J240" s="7"/>
      <c r="K240" s="7"/>
      <c r="L240" s="7"/>
      <c r="M240" s="29"/>
      <c r="N240" s="32"/>
      <c r="O240" s="32"/>
      <c r="P240" s="32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</row>
    <row r="241" spans="1:45" x14ac:dyDescent="0.3">
      <c r="A241" s="7"/>
      <c r="B241" s="7"/>
      <c r="C241" s="7"/>
      <c r="D241" s="12"/>
      <c r="E241" s="12"/>
      <c r="F241" s="12"/>
      <c r="G241" s="11"/>
      <c r="H241" s="11"/>
      <c r="I241" s="11"/>
      <c r="J241" s="7"/>
      <c r="K241" s="7"/>
      <c r="L241" s="7"/>
      <c r="M241" s="29"/>
      <c r="N241" s="32"/>
      <c r="O241" s="32"/>
      <c r="P241" s="32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</row>
    <row r="242" spans="1:45" x14ac:dyDescent="0.3">
      <c r="A242" s="7"/>
      <c r="B242" s="7"/>
      <c r="C242" s="7"/>
      <c r="D242" s="12"/>
      <c r="E242" s="12"/>
      <c r="F242" s="12"/>
      <c r="G242" s="11"/>
      <c r="H242" s="11"/>
      <c r="I242" s="11"/>
      <c r="J242" s="7"/>
      <c r="K242" s="7"/>
      <c r="L242" s="7"/>
      <c r="M242" s="29"/>
      <c r="N242" s="32"/>
      <c r="O242" s="32"/>
      <c r="P242" s="32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</row>
    <row r="243" spans="1:45" x14ac:dyDescent="0.3">
      <c r="A243" s="7"/>
      <c r="B243" s="7"/>
      <c r="C243" s="7"/>
      <c r="D243" s="12"/>
      <c r="E243" s="12"/>
      <c r="F243" s="12"/>
      <c r="G243" s="11"/>
      <c r="H243" s="11"/>
      <c r="I243" s="11"/>
      <c r="J243" s="7"/>
      <c r="K243" s="7"/>
      <c r="L243" s="7"/>
      <c r="M243" s="29"/>
      <c r="N243" s="32"/>
      <c r="O243" s="32"/>
      <c r="P243" s="32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</row>
    <row r="244" spans="1:45" x14ac:dyDescent="0.3">
      <c r="A244" s="7"/>
      <c r="B244" s="7"/>
      <c r="C244" s="7"/>
      <c r="D244" s="12"/>
      <c r="E244" s="12"/>
      <c r="F244" s="12"/>
      <c r="G244" s="11"/>
      <c r="H244" s="11"/>
      <c r="I244" s="11"/>
      <c r="J244" s="7"/>
      <c r="K244" s="7"/>
      <c r="L244" s="7"/>
      <c r="M244" s="29"/>
      <c r="N244" s="32"/>
      <c r="O244" s="32"/>
      <c r="P244" s="32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</row>
    <row r="245" spans="1:45" x14ac:dyDescent="0.3">
      <c r="A245" s="7"/>
      <c r="B245" s="7"/>
      <c r="C245" s="7"/>
      <c r="D245" s="12"/>
      <c r="E245" s="12"/>
      <c r="F245" s="12"/>
      <c r="G245" s="11"/>
      <c r="H245" s="11"/>
      <c r="I245" s="11"/>
      <c r="J245" s="7"/>
      <c r="K245" s="7"/>
      <c r="L245" s="7"/>
      <c r="M245" s="29"/>
      <c r="N245" s="32"/>
      <c r="O245" s="32"/>
      <c r="P245" s="32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</row>
    <row r="246" spans="1:45" x14ac:dyDescent="0.3">
      <c r="A246" s="7"/>
      <c r="B246" s="7"/>
      <c r="C246" s="7"/>
      <c r="D246" s="12"/>
      <c r="E246" s="12"/>
      <c r="F246" s="12"/>
      <c r="G246" s="11"/>
      <c r="H246" s="11"/>
      <c r="I246" s="11"/>
      <c r="J246" s="7"/>
      <c r="K246" s="7"/>
      <c r="L246" s="7"/>
      <c r="M246" s="29"/>
      <c r="N246" s="32"/>
      <c r="O246" s="32"/>
      <c r="P246" s="32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</row>
    <row r="247" spans="1:45" x14ac:dyDescent="0.3">
      <c r="A247" s="7"/>
      <c r="B247" s="7"/>
      <c r="C247" s="7"/>
      <c r="D247" s="12"/>
      <c r="E247" s="12"/>
      <c r="F247" s="12"/>
      <c r="G247" s="11"/>
      <c r="H247" s="11"/>
      <c r="I247" s="11"/>
      <c r="J247" s="7"/>
      <c r="K247" s="7"/>
      <c r="L247" s="7"/>
      <c r="M247" s="29"/>
      <c r="N247" s="32"/>
      <c r="O247" s="32"/>
      <c r="P247" s="32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</row>
    <row r="248" spans="1:45" x14ac:dyDescent="0.3">
      <c r="A248" s="7"/>
      <c r="B248" s="7"/>
      <c r="C248" s="7"/>
      <c r="D248" s="12"/>
      <c r="E248" s="12"/>
      <c r="F248" s="12"/>
      <c r="G248" s="11"/>
      <c r="H248" s="11"/>
      <c r="I248" s="11"/>
      <c r="J248" s="7"/>
      <c r="K248" s="7"/>
      <c r="L248" s="7"/>
      <c r="M248" s="29"/>
      <c r="N248" s="32"/>
      <c r="O248" s="32"/>
      <c r="P248" s="32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</row>
    <row r="249" spans="1:45" x14ac:dyDescent="0.3">
      <c r="A249" s="7"/>
      <c r="B249" s="7"/>
      <c r="C249" s="7"/>
      <c r="D249" s="12"/>
      <c r="E249" s="12"/>
      <c r="F249" s="12"/>
      <c r="G249" s="11"/>
      <c r="H249" s="11"/>
      <c r="I249" s="11"/>
      <c r="J249" s="7"/>
      <c r="K249" s="7"/>
      <c r="L249" s="7"/>
      <c r="M249" s="29"/>
      <c r="N249" s="32"/>
      <c r="O249" s="32"/>
      <c r="P249" s="32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</row>
    <row r="250" spans="1:45" x14ac:dyDescent="0.3">
      <c r="A250" s="7"/>
      <c r="B250" s="7"/>
      <c r="C250" s="7"/>
      <c r="D250" s="12"/>
      <c r="E250" s="12"/>
      <c r="F250" s="12"/>
      <c r="G250" s="11"/>
      <c r="H250" s="11"/>
      <c r="I250" s="11"/>
      <c r="J250" s="7"/>
      <c r="K250" s="7"/>
      <c r="L250" s="7"/>
      <c r="M250" s="29"/>
      <c r="N250" s="32"/>
      <c r="O250" s="32"/>
      <c r="P250" s="32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</row>
    <row r="251" spans="1:45" x14ac:dyDescent="0.3">
      <c r="A251" s="7"/>
      <c r="B251" s="7"/>
      <c r="C251" s="7"/>
      <c r="D251" s="12"/>
      <c r="E251" s="12"/>
      <c r="F251" s="12"/>
      <c r="G251" s="11"/>
      <c r="H251" s="11"/>
      <c r="I251" s="11"/>
      <c r="J251" s="7"/>
      <c r="K251" s="7"/>
      <c r="L251" s="7"/>
      <c r="M251" s="29"/>
      <c r="N251" s="32"/>
      <c r="O251" s="32"/>
      <c r="P251" s="32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</row>
    <row r="252" spans="1:45" x14ac:dyDescent="0.3">
      <c r="A252" s="7"/>
      <c r="B252" s="7"/>
      <c r="C252" s="7"/>
      <c r="D252" s="12"/>
      <c r="E252" s="12"/>
      <c r="F252" s="12"/>
      <c r="G252" s="11"/>
      <c r="H252" s="11"/>
      <c r="I252" s="11"/>
      <c r="J252" s="7"/>
      <c r="K252" s="7"/>
      <c r="L252" s="7"/>
      <c r="M252" s="29"/>
      <c r="N252" s="32"/>
      <c r="O252" s="32"/>
      <c r="P252" s="32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</row>
    <row r="253" spans="1:45" x14ac:dyDescent="0.3">
      <c r="A253" s="7"/>
      <c r="B253" s="7"/>
      <c r="C253" s="7"/>
      <c r="D253" s="12"/>
      <c r="E253" s="12"/>
      <c r="F253" s="12"/>
      <c r="G253" s="11"/>
      <c r="H253" s="11"/>
      <c r="I253" s="11"/>
      <c r="J253" s="7"/>
      <c r="K253" s="7"/>
      <c r="L253" s="7"/>
      <c r="M253" s="29"/>
      <c r="N253" s="32"/>
      <c r="O253" s="32"/>
      <c r="P253" s="32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</row>
    <row r="254" spans="1:45" x14ac:dyDescent="0.3">
      <c r="A254" s="7"/>
      <c r="B254" s="7"/>
      <c r="C254" s="7"/>
      <c r="D254" s="12"/>
      <c r="E254" s="12"/>
      <c r="F254" s="12"/>
      <c r="G254" s="11"/>
      <c r="H254" s="11"/>
      <c r="I254" s="11"/>
      <c r="J254" s="7"/>
      <c r="K254" s="7"/>
      <c r="L254" s="7"/>
      <c r="M254" s="29"/>
      <c r="N254" s="32"/>
      <c r="O254" s="32"/>
      <c r="P254" s="32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</row>
    <row r="255" spans="1:45" x14ac:dyDescent="0.3">
      <c r="A255" s="7"/>
      <c r="B255" s="7"/>
      <c r="C255" s="7"/>
      <c r="D255" s="12"/>
      <c r="E255" s="12"/>
      <c r="F255" s="12"/>
      <c r="G255" s="11"/>
      <c r="H255" s="11"/>
      <c r="I255" s="11"/>
      <c r="J255" s="7"/>
      <c r="K255" s="7"/>
      <c r="L255" s="7"/>
      <c r="M255" s="29"/>
      <c r="N255" s="32"/>
      <c r="O255" s="32"/>
      <c r="P255" s="32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</row>
    <row r="256" spans="1:45" x14ac:dyDescent="0.3">
      <c r="A256" s="7"/>
      <c r="B256" s="7"/>
      <c r="C256" s="7"/>
      <c r="D256" s="12"/>
      <c r="E256" s="12"/>
      <c r="F256" s="12"/>
      <c r="G256" s="11"/>
      <c r="H256" s="11"/>
      <c r="I256" s="11"/>
      <c r="J256" s="7"/>
      <c r="K256" s="7"/>
      <c r="L256" s="7"/>
      <c r="M256" s="29"/>
      <c r="N256" s="32"/>
      <c r="O256" s="32"/>
      <c r="P256" s="32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</row>
    <row r="257" spans="1:45" x14ac:dyDescent="0.3">
      <c r="A257" s="7"/>
      <c r="B257" s="7"/>
      <c r="C257" s="7"/>
      <c r="D257" s="12"/>
      <c r="E257" s="12"/>
      <c r="F257" s="12"/>
      <c r="G257" s="11"/>
      <c r="H257" s="11"/>
      <c r="I257" s="11"/>
      <c r="J257" s="7"/>
      <c r="K257" s="7"/>
      <c r="L257" s="7"/>
      <c r="M257" s="29"/>
      <c r="N257" s="32"/>
      <c r="O257" s="32"/>
      <c r="P257" s="32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</row>
    <row r="258" spans="1:45" x14ac:dyDescent="0.3">
      <c r="A258" s="7"/>
      <c r="B258" s="7"/>
      <c r="C258" s="7"/>
      <c r="D258" s="12"/>
      <c r="E258" s="12"/>
      <c r="F258" s="12"/>
      <c r="G258" s="11"/>
      <c r="H258" s="11"/>
      <c r="I258" s="11"/>
      <c r="J258" s="7"/>
      <c r="K258" s="7"/>
      <c r="L258" s="7"/>
      <c r="M258" s="29"/>
      <c r="N258" s="32"/>
      <c r="O258" s="32"/>
      <c r="P258" s="32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</row>
    <row r="259" spans="1:45" x14ac:dyDescent="0.3">
      <c r="A259" s="7"/>
      <c r="B259" s="7"/>
      <c r="C259" s="7"/>
      <c r="D259" s="12"/>
      <c r="E259" s="12"/>
      <c r="F259" s="12"/>
      <c r="G259" s="11"/>
      <c r="H259" s="11"/>
      <c r="I259" s="11"/>
      <c r="J259" s="7"/>
      <c r="K259" s="7"/>
      <c r="L259" s="7"/>
      <c r="M259" s="29"/>
      <c r="N259" s="32"/>
      <c r="O259" s="32"/>
      <c r="P259" s="32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</row>
    <row r="260" spans="1:45" x14ac:dyDescent="0.3">
      <c r="A260" s="7"/>
      <c r="B260" s="7"/>
      <c r="C260" s="7"/>
      <c r="D260" s="12"/>
      <c r="E260" s="12"/>
      <c r="F260" s="12"/>
      <c r="G260" s="11"/>
      <c r="H260" s="11"/>
      <c r="I260" s="11"/>
      <c r="J260" s="7"/>
      <c r="K260" s="7"/>
      <c r="L260" s="7"/>
      <c r="M260" s="29"/>
      <c r="N260" s="32"/>
      <c r="O260" s="32"/>
      <c r="P260" s="32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</row>
    <row r="261" spans="1:45" x14ac:dyDescent="0.3">
      <c r="A261" s="7"/>
      <c r="B261" s="7"/>
      <c r="C261" s="7"/>
      <c r="D261" s="12"/>
      <c r="E261" s="12"/>
      <c r="F261" s="12"/>
      <c r="G261" s="11"/>
      <c r="H261" s="11"/>
      <c r="I261" s="11"/>
      <c r="J261" s="7"/>
      <c r="K261" s="7"/>
      <c r="L261" s="7"/>
      <c r="M261" s="29"/>
      <c r="N261" s="32"/>
      <c r="O261" s="32"/>
      <c r="P261" s="32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</row>
    <row r="262" spans="1:45" x14ac:dyDescent="0.3">
      <c r="A262" s="7"/>
      <c r="B262" s="7"/>
      <c r="C262" s="7"/>
      <c r="D262" s="12"/>
      <c r="E262" s="12"/>
      <c r="F262" s="12"/>
      <c r="G262" s="11"/>
      <c r="H262" s="11"/>
      <c r="I262" s="11"/>
      <c r="J262" s="7"/>
      <c r="K262" s="7"/>
      <c r="L262" s="7"/>
      <c r="M262" s="29"/>
      <c r="N262" s="32"/>
      <c r="O262" s="32"/>
      <c r="P262" s="32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</row>
    <row r="263" spans="1:45" x14ac:dyDescent="0.3">
      <c r="A263" s="7"/>
      <c r="B263" s="7"/>
      <c r="C263" s="7"/>
      <c r="D263" s="12"/>
      <c r="E263" s="12"/>
      <c r="F263" s="12"/>
      <c r="G263" s="11"/>
      <c r="H263" s="11"/>
      <c r="I263" s="11"/>
      <c r="J263" s="7"/>
      <c r="K263" s="7"/>
      <c r="L263" s="7"/>
      <c r="M263" s="29"/>
      <c r="N263" s="32"/>
      <c r="O263" s="32"/>
      <c r="P263" s="32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</row>
    <row r="264" spans="1:45" x14ac:dyDescent="0.3">
      <c r="A264" s="7"/>
      <c r="B264" s="7"/>
      <c r="C264" s="7"/>
      <c r="D264" s="12"/>
      <c r="E264" s="12"/>
      <c r="F264" s="12"/>
      <c r="G264" s="11"/>
      <c r="H264" s="11"/>
      <c r="I264" s="11"/>
      <c r="J264" s="7"/>
      <c r="K264" s="7"/>
      <c r="L264" s="7"/>
      <c r="M264" s="29"/>
      <c r="N264" s="32"/>
      <c r="O264" s="32"/>
      <c r="P264" s="32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</row>
    <row r="265" spans="1:45" x14ac:dyDescent="0.3">
      <c r="A265" s="7"/>
      <c r="B265" s="7"/>
      <c r="C265" s="7"/>
      <c r="D265" s="12"/>
      <c r="E265" s="12"/>
      <c r="F265" s="12"/>
      <c r="G265" s="11"/>
      <c r="H265" s="11"/>
      <c r="I265" s="11"/>
      <c r="J265" s="7"/>
      <c r="K265" s="7"/>
      <c r="L265" s="7"/>
      <c r="M265" s="29"/>
      <c r="N265" s="32"/>
      <c r="O265" s="32"/>
      <c r="P265" s="32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</row>
    <row r="266" spans="1:45" x14ac:dyDescent="0.3">
      <c r="A266" s="7"/>
      <c r="B266" s="7"/>
      <c r="C266" s="7"/>
      <c r="D266" s="12"/>
      <c r="E266" s="12"/>
      <c r="F266" s="12"/>
      <c r="G266" s="11"/>
      <c r="H266" s="11"/>
      <c r="I266" s="11"/>
      <c r="J266" s="7"/>
      <c r="K266" s="7"/>
      <c r="L266" s="7"/>
      <c r="M266" s="29"/>
      <c r="N266" s="32"/>
      <c r="O266" s="32"/>
      <c r="P266" s="32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</row>
    <row r="267" spans="1:45" x14ac:dyDescent="0.3">
      <c r="A267" s="7"/>
      <c r="B267" s="7"/>
      <c r="C267" s="7"/>
      <c r="D267" s="12"/>
      <c r="E267" s="12"/>
      <c r="F267" s="12"/>
      <c r="G267" s="11"/>
      <c r="H267" s="11"/>
      <c r="I267" s="11"/>
      <c r="J267" s="7"/>
      <c r="K267" s="7"/>
      <c r="L267" s="7"/>
      <c r="M267" s="29"/>
      <c r="N267" s="32"/>
      <c r="O267" s="32"/>
      <c r="P267" s="32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</row>
    <row r="268" spans="1:45" x14ac:dyDescent="0.3">
      <c r="A268" s="7"/>
      <c r="B268" s="7"/>
      <c r="C268" s="7"/>
      <c r="D268" s="12"/>
      <c r="E268" s="12"/>
      <c r="F268" s="12"/>
      <c r="G268" s="11"/>
      <c r="H268" s="11"/>
      <c r="I268" s="11"/>
      <c r="J268" s="7"/>
      <c r="K268" s="7"/>
      <c r="L268" s="7"/>
      <c r="M268" s="29"/>
      <c r="N268" s="32"/>
      <c r="O268" s="32"/>
      <c r="P268" s="32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</row>
    <row r="269" spans="1:45" x14ac:dyDescent="0.3">
      <c r="A269" s="7"/>
      <c r="B269" s="7"/>
      <c r="C269" s="7"/>
      <c r="D269" s="12"/>
      <c r="E269" s="12"/>
      <c r="F269" s="12"/>
      <c r="G269" s="11"/>
      <c r="H269" s="11"/>
      <c r="I269" s="11"/>
      <c r="J269" s="7"/>
      <c r="K269" s="7"/>
      <c r="L269" s="7"/>
      <c r="M269" s="29"/>
      <c r="N269" s="32"/>
      <c r="O269" s="32"/>
      <c r="P269" s="32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</row>
    <row r="270" spans="1:45" x14ac:dyDescent="0.3">
      <c r="A270" s="7"/>
      <c r="B270" s="7"/>
      <c r="C270" s="7"/>
      <c r="D270" s="12"/>
      <c r="E270" s="12"/>
      <c r="F270" s="12"/>
      <c r="G270" s="11"/>
      <c r="H270" s="11"/>
      <c r="I270" s="11"/>
      <c r="J270" s="7"/>
      <c r="K270" s="7"/>
      <c r="L270" s="7"/>
      <c r="M270" s="29"/>
      <c r="N270" s="32"/>
      <c r="O270" s="32"/>
      <c r="P270" s="32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</row>
    <row r="271" spans="1:45" x14ac:dyDescent="0.3">
      <c r="A271" s="7"/>
      <c r="B271" s="7"/>
      <c r="C271" s="7"/>
      <c r="D271" s="12"/>
      <c r="E271" s="12"/>
      <c r="F271" s="12"/>
      <c r="G271" s="11"/>
      <c r="H271" s="11"/>
      <c r="I271" s="11"/>
      <c r="J271" s="7"/>
      <c r="K271" s="7"/>
      <c r="L271" s="7"/>
      <c r="M271" s="29"/>
      <c r="N271" s="32"/>
      <c r="O271" s="32"/>
      <c r="P271" s="32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</row>
    <row r="272" spans="1:45" x14ac:dyDescent="0.3">
      <c r="A272" s="7"/>
      <c r="B272" s="7"/>
      <c r="C272" s="7"/>
      <c r="D272" s="12"/>
      <c r="E272" s="12"/>
      <c r="F272" s="12"/>
      <c r="G272" s="11"/>
      <c r="H272" s="11"/>
      <c r="I272" s="11"/>
      <c r="J272" s="7"/>
      <c r="K272" s="7"/>
      <c r="L272" s="7"/>
      <c r="M272" s="29"/>
      <c r="N272" s="32"/>
      <c r="O272" s="32"/>
      <c r="P272" s="32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</row>
    <row r="273" spans="1:45" x14ac:dyDescent="0.3">
      <c r="A273" s="7"/>
      <c r="B273" s="7"/>
      <c r="C273" s="7"/>
      <c r="D273" s="12"/>
      <c r="E273" s="12"/>
      <c r="F273" s="12"/>
      <c r="G273" s="11"/>
      <c r="H273" s="11"/>
      <c r="I273" s="11"/>
      <c r="J273" s="7"/>
      <c r="K273" s="7"/>
      <c r="L273" s="7"/>
      <c r="M273" s="29"/>
      <c r="N273" s="32"/>
      <c r="O273" s="32"/>
      <c r="P273" s="32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</row>
    <row r="274" spans="1:45" x14ac:dyDescent="0.3">
      <c r="A274" s="7"/>
      <c r="B274" s="7"/>
      <c r="C274" s="7"/>
      <c r="D274" s="12"/>
      <c r="E274" s="12"/>
      <c r="F274" s="12"/>
      <c r="G274" s="11"/>
      <c r="H274" s="11"/>
      <c r="I274" s="11"/>
      <c r="J274" s="7"/>
      <c r="K274" s="7"/>
      <c r="L274" s="7"/>
      <c r="M274" s="29"/>
      <c r="N274" s="32"/>
      <c r="O274" s="32"/>
      <c r="P274" s="32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</row>
    <row r="275" spans="1:45" x14ac:dyDescent="0.3">
      <c r="A275" s="7"/>
      <c r="B275" s="7"/>
      <c r="C275" s="7"/>
      <c r="D275" s="12"/>
      <c r="E275" s="12"/>
      <c r="F275" s="12"/>
      <c r="G275" s="11"/>
      <c r="H275" s="11"/>
      <c r="I275" s="11"/>
      <c r="J275" s="7"/>
      <c r="K275" s="7"/>
      <c r="L275" s="7"/>
      <c r="M275" s="29"/>
      <c r="N275" s="32"/>
      <c r="O275" s="32"/>
      <c r="P275" s="32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</row>
    <row r="276" spans="1:45" x14ac:dyDescent="0.3">
      <c r="A276" s="7"/>
      <c r="B276" s="7"/>
      <c r="C276" s="7"/>
      <c r="D276" s="12"/>
      <c r="E276" s="12"/>
      <c r="F276" s="12"/>
      <c r="G276" s="11"/>
      <c r="H276" s="11"/>
      <c r="I276" s="11"/>
      <c r="J276" s="7"/>
      <c r="K276" s="7"/>
      <c r="L276" s="7"/>
      <c r="M276" s="29"/>
      <c r="N276" s="32"/>
      <c r="O276" s="32"/>
      <c r="P276" s="32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</row>
    <row r="277" spans="1:45" x14ac:dyDescent="0.3">
      <c r="A277" s="7"/>
      <c r="B277" s="7"/>
      <c r="C277" s="7"/>
      <c r="D277" s="12"/>
      <c r="E277" s="12"/>
      <c r="F277" s="12"/>
      <c r="G277" s="11"/>
      <c r="H277" s="11"/>
      <c r="I277" s="11"/>
      <c r="J277" s="7"/>
      <c r="K277" s="7"/>
      <c r="L277" s="7"/>
      <c r="M277" s="29"/>
      <c r="N277" s="32"/>
      <c r="O277" s="32"/>
      <c r="P277" s="32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</row>
    <row r="278" spans="1:45" x14ac:dyDescent="0.3">
      <c r="A278" s="7"/>
      <c r="B278" s="7"/>
      <c r="C278" s="7"/>
      <c r="D278" s="12"/>
      <c r="E278" s="12"/>
      <c r="F278" s="12"/>
      <c r="G278" s="11"/>
      <c r="H278" s="11"/>
      <c r="I278" s="11"/>
      <c r="J278" s="7"/>
      <c r="K278" s="7"/>
      <c r="L278" s="7"/>
      <c r="M278" s="29"/>
      <c r="N278" s="32"/>
      <c r="O278" s="32"/>
      <c r="P278" s="32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</row>
    <row r="279" spans="1:45" x14ac:dyDescent="0.3">
      <c r="A279" s="7"/>
      <c r="B279" s="7"/>
      <c r="C279" s="7"/>
      <c r="D279" s="12"/>
      <c r="E279" s="12"/>
      <c r="F279" s="12"/>
      <c r="G279" s="11"/>
      <c r="H279" s="11"/>
      <c r="I279" s="11"/>
      <c r="J279" s="7"/>
      <c r="K279" s="7"/>
      <c r="L279" s="7"/>
      <c r="M279" s="29"/>
      <c r="N279" s="32"/>
      <c r="O279" s="32"/>
      <c r="P279" s="32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</row>
    <row r="280" spans="1:45" x14ac:dyDescent="0.3">
      <c r="A280" s="7"/>
      <c r="B280" s="7"/>
      <c r="C280" s="7"/>
      <c r="D280" s="12"/>
      <c r="E280" s="12"/>
      <c r="F280" s="12"/>
      <c r="G280" s="11"/>
      <c r="H280" s="11"/>
      <c r="I280" s="11"/>
      <c r="J280" s="7"/>
      <c r="K280" s="7"/>
      <c r="L280" s="7"/>
      <c r="M280" s="29"/>
      <c r="N280" s="32"/>
      <c r="O280" s="32"/>
      <c r="P280" s="32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</row>
    <row r="281" spans="1:45" x14ac:dyDescent="0.3">
      <c r="A281" s="7"/>
      <c r="B281" s="7"/>
      <c r="C281" s="7"/>
      <c r="D281" s="12"/>
      <c r="E281" s="12"/>
      <c r="F281" s="12"/>
      <c r="G281" s="11"/>
      <c r="H281" s="11"/>
      <c r="I281" s="11"/>
      <c r="J281" s="7"/>
      <c r="K281" s="7"/>
      <c r="L281" s="7"/>
      <c r="M281" s="29"/>
      <c r="N281" s="32"/>
      <c r="O281" s="32"/>
      <c r="P281" s="32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</row>
    <row r="282" spans="1:45" x14ac:dyDescent="0.3">
      <c r="A282" s="7"/>
      <c r="B282" s="7"/>
      <c r="C282" s="7"/>
      <c r="D282" s="12"/>
      <c r="E282" s="12"/>
      <c r="F282" s="12"/>
      <c r="G282" s="11"/>
      <c r="H282" s="11"/>
      <c r="I282" s="11"/>
      <c r="J282" s="7"/>
      <c r="K282" s="7"/>
      <c r="L282" s="7"/>
      <c r="M282" s="29"/>
      <c r="N282" s="32"/>
      <c r="O282" s="32"/>
      <c r="P282" s="32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</row>
    <row r="283" spans="1:45" x14ac:dyDescent="0.3">
      <c r="A283" s="7"/>
      <c r="B283" s="7"/>
      <c r="C283" s="7"/>
      <c r="D283" s="12"/>
      <c r="E283" s="12"/>
      <c r="F283" s="12"/>
      <c r="G283" s="11"/>
      <c r="H283" s="11"/>
      <c r="I283" s="11"/>
      <c r="J283" s="7"/>
      <c r="K283" s="7"/>
      <c r="L283" s="7"/>
      <c r="M283" s="29"/>
      <c r="N283" s="32"/>
      <c r="O283" s="32"/>
      <c r="P283" s="32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</row>
    <row r="284" spans="1:45" x14ac:dyDescent="0.3">
      <c r="A284" s="7"/>
      <c r="B284" s="7"/>
      <c r="C284" s="7"/>
      <c r="D284" s="12"/>
      <c r="E284" s="12"/>
      <c r="F284" s="12"/>
      <c r="G284" s="11"/>
      <c r="H284" s="11"/>
      <c r="I284" s="11"/>
      <c r="J284" s="7"/>
      <c r="K284" s="7"/>
      <c r="L284" s="7"/>
      <c r="M284" s="29"/>
      <c r="N284" s="32"/>
      <c r="O284" s="32"/>
      <c r="P284" s="32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</row>
    <row r="285" spans="1:45" x14ac:dyDescent="0.3">
      <c r="A285" s="7"/>
      <c r="B285" s="7"/>
      <c r="C285" s="7"/>
      <c r="D285" s="12"/>
      <c r="E285" s="12"/>
      <c r="F285" s="12"/>
      <c r="G285" s="11"/>
      <c r="H285" s="11"/>
      <c r="I285" s="11"/>
      <c r="J285" s="7"/>
      <c r="K285" s="7"/>
      <c r="L285" s="7"/>
      <c r="M285" s="29"/>
      <c r="N285" s="32"/>
      <c r="O285" s="32"/>
      <c r="P285" s="32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</row>
    <row r="286" spans="1:45" x14ac:dyDescent="0.3">
      <c r="A286" s="7"/>
      <c r="B286" s="7"/>
      <c r="C286" s="7"/>
      <c r="D286" s="12"/>
      <c r="E286" s="12"/>
      <c r="F286" s="12"/>
      <c r="G286" s="11"/>
      <c r="H286" s="11"/>
      <c r="I286" s="11"/>
      <c r="J286" s="7"/>
      <c r="K286" s="7"/>
      <c r="L286" s="7"/>
      <c r="M286" s="29"/>
      <c r="N286" s="32"/>
      <c r="O286" s="32"/>
      <c r="P286" s="32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</row>
    <row r="287" spans="1:45" x14ac:dyDescent="0.3">
      <c r="A287" s="7"/>
      <c r="B287" s="7"/>
      <c r="C287" s="7"/>
      <c r="D287" s="12"/>
      <c r="E287" s="12"/>
      <c r="F287" s="12"/>
      <c r="G287" s="11"/>
      <c r="H287" s="11"/>
      <c r="I287" s="11"/>
      <c r="J287" s="7"/>
      <c r="K287" s="7"/>
      <c r="L287" s="7"/>
      <c r="M287" s="29"/>
      <c r="N287" s="32"/>
      <c r="O287" s="32"/>
      <c r="P287" s="32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</row>
    <row r="288" spans="1:45" x14ac:dyDescent="0.3">
      <c r="A288" s="7"/>
      <c r="B288" s="7"/>
      <c r="C288" s="7"/>
      <c r="D288" s="12"/>
      <c r="E288" s="12"/>
      <c r="F288" s="12"/>
      <c r="G288" s="11"/>
      <c r="H288" s="11"/>
      <c r="I288" s="11"/>
      <c r="J288" s="7"/>
      <c r="K288" s="7"/>
      <c r="L288" s="7"/>
      <c r="M288" s="29"/>
      <c r="N288" s="32"/>
      <c r="O288" s="32"/>
      <c r="P288" s="32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</row>
    <row r="289" spans="1:45" x14ac:dyDescent="0.3">
      <c r="A289" s="7"/>
      <c r="B289" s="7"/>
      <c r="C289" s="7"/>
      <c r="D289" s="12"/>
      <c r="E289" s="12"/>
      <c r="F289" s="12"/>
      <c r="G289" s="11"/>
      <c r="H289" s="11"/>
      <c r="I289" s="11"/>
      <c r="J289" s="7"/>
      <c r="K289" s="7"/>
      <c r="L289" s="7"/>
      <c r="M289" s="29"/>
      <c r="N289" s="32"/>
      <c r="O289" s="32"/>
      <c r="P289" s="32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</row>
    <row r="290" spans="1:45" x14ac:dyDescent="0.3">
      <c r="A290" s="7"/>
      <c r="B290" s="7"/>
      <c r="C290" s="7"/>
      <c r="D290" s="12"/>
      <c r="E290" s="12"/>
      <c r="F290" s="12"/>
      <c r="G290" s="11"/>
      <c r="H290" s="11"/>
      <c r="I290" s="11"/>
      <c r="J290" s="7"/>
      <c r="K290" s="7"/>
      <c r="L290" s="7"/>
      <c r="M290" s="29"/>
      <c r="N290" s="32"/>
      <c r="O290" s="32"/>
      <c r="P290" s="32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</row>
    <row r="291" spans="1:45" x14ac:dyDescent="0.3">
      <c r="A291" s="7"/>
      <c r="B291" s="7"/>
      <c r="C291" s="7"/>
      <c r="D291" s="12"/>
      <c r="E291" s="12"/>
      <c r="F291" s="12"/>
      <c r="G291" s="11"/>
      <c r="H291" s="11"/>
      <c r="I291" s="11"/>
      <c r="J291" s="7"/>
      <c r="K291" s="7"/>
      <c r="L291" s="7"/>
      <c r="M291" s="29"/>
      <c r="N291" s="32"/>
      <c r="O291" s="32"/>
      <c r="P291" s="32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</row>
    <row r="292" spans="1:45" x14ac:dyDescent="0.3">
      <c r="A292" s="7"/>
      <c r="B292" s="7"/>
      <c r="C292" s="7"/>
      <c r="D292" s="12"/>
      <c r="E292" s="12"/>
      <c r="F292" s="12"/>
      <c r="G292" s="11"/>
      <c r="H292" s="11"/>
      <c r="I292" s="11"/>
      <c r="J292" s="7"/>
      <c r="K292" s="7"/>
      <c r="L292" s="7"/>
      <c r="M292" s="29"/>
      <c r="N292" s="32"/>
      <c r="O292" s="32"/>
      <c r="P292" s="32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</row>
    <row r="293" spans="1:45" x14ac:dyDescent="0.3">
      <c r="A293" s="7"/>
      <c r="B293" s="7"/>
      <c r="C293" s="7"/>
      <c r="D293" s="12"/>
      <c r="E293" s="12"/>
      <c r="F293" s="12"/>
      <c r="G293" s="11"/>
      <c r="H293" s="11"/>
      <c r="I293" s="11"/>
      <c r="J293" s="7"/>
      <c r="K293" s="7"/>
      <c r="L293" s="7"/>
      <c r="M293" s="29"/>
      <c r="N293" s="32"/>
      <c r="O293" s="32"/>
      <c r="P293" s="32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</row>
    <row r="294" spans="1:45" x14ac:dyDescent="0.3">
      <c r="A294" s="7"/>
      <c r="B294" s="7"/>
      <c r="C294" s="7"/>
      <c r="D294" s="12"/>
      <c r="E294" s="12"/>
      <c r="F294" s="12"/>
      <c r="G294" s="11"/>
      <c r="H294" s="11"/>
      <c r="I294" s="11"/>
      <c r="J294" s="7"/>
      <c r="K294" s="7"/>
      <c r="L294" s="7"/>
      <c r="M294" s="29"/>
      <c r="N294" s="32"/>
      <c r="O294" s="32"/>
      <c r="P294" s="32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</row>
    <row r="295" spans="1:45" x14ac:dyDescent="0.3">
      <c r="A295" s="7"/>
      <c r="B295" s="7"/>
      <c r="C295" s="7"/>
      <c r="D295" s="12"/>
      <c r="E295" s="12"/>
      <c r="F295" s="12"/>
      <c r="G295" s="11"/>
      <c r="H295" s="11"/>
      <c r="I295" s="11"/>
      <c r="J295" s="7"/>
      <c r="K295" s="7"/>
      <c r="L295" s="7"/>
      <c r="M295" s="29"/>
      <c r="N295" s="32"/>
      <c r="O295" s="32"/>
      <c r="P295" s="32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</row>
    <row r="296" spans="1:45" x14ac:dyDescent="0.3">
      <c r="A296" s="7"/>
      <c r="B296" s="7"/>
      <c r="C296" s="7"/>
      <c r="D296" s="12"/>
      <c r="E296" s="12"/>
      <c r="F296" s="12"/>
      <c r="G296" s="11"/>
      <c r="H296" s="11"/>
      <c r="I296" s="11"/>
      <c r="J296" s="7"/>
      <c r="K296" s="7"/>
      <c r="L296" s="7"/>
      <c r="M296" s="29"/>
      <c r="N296" s="32"/>
      <c r="O296" s="32"/>
      <c r="P296" s="32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</row>
    <row r="297" spans="1:45" x14ac:dyDescent="0.3">
      <c r="A297" s="7"/>
      <c r="B297" s="7"/>
      <c r="C297" s="7"/>
      <c r="D297" s="12"/>
      <c r="E297" s="12"/>
      <c r="F297" s="12"/>
      <c r="G297" s="11"/>
      <c r="H297" s="11"/>
      <c r="I297" s="11"/>
      <c r="J297" s="7"/>
      <c r="K297" s="7"/>
      <c r="L297" s="7"/>
      <c r="M297" s="29"/>
      <c r="N297" s="32"/>
      <c r="O297" s="32"/>
      <c r="P297" s="32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</row>
    <row r="298" spans="1:45" x14ac:dyDescent="0.3">
      <c r="A298" s="7"/>
      <c r="B298" s="7"/>
      <c r="C298" s="7"/>
      <c r="D298" s="12"/>
      <c r="E298" s="12"/>
      <c r="F298" s="12"/>
      <c r="G298" s="11"/>
      <c r="H298" s="11"/>
      <c r="I298" s="11"/>
      <c r="J298" s="7"/>
      <c r="K298" s="7"/>
      <c r="L298" s="7"/>
      <c r="M298" s="29"/>
      <c r="N298" s="32"/>
      <c r="O298" s="32"/>
      <c r="P298" s="32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</row>
    <row r="299" spans="1:45" x14ac:dyDescent="0.3">
      <c r="A299" s="7"/>
      <c r="B299" s="7"/>
      <c r="C299" s="7"/>
      <c r="D299" s="12"/>
      <c r="E299" s="12"/>
      <c r="F299" s="12"/>
      <c r="G299" s="11"/>
      <c r="H299" s="11"/>
      <c r="I299" s="11"/>
      <c r="J299" s="7"/>
      <c r="K299" s="7"/>
      <c r="L299" s="7"/>
      <c r="M299" s="29"/>
      <c r="N299" s="32"/>
      <c r="O299" s="32"/>
      <c r="P299" s="32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</row>
    <row r="300" spans="1:45" x14ac:dyDescent="0.3">
      <c r="A300" s="7"/>
      <c r="B300" s="7"/>
      <c r="C300" s="7"/>
      <c r="D300" s="12"/>
      <c r="E300" s="12"/>
      <c r="F300" s="12"/>
      <c r="G300" s="11"/>
      <c r="H300" s="11"/>
      <c r="I300" s="11"/>
      <c r="J300" s="7"/>
      <c r="K300" s="7"/>
      <c r="L300" s="7"/>
      <c r="M300" s="29"/>
      <c r="N300" s="32"/>
      <c r="O300" s="32"/>
      <c r="P300" s="32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</row>
    <row r="301" spans="1:45" x14ac:dyDescent="0.3">
      <c r="A301" s="7"/>
      <c r="B301" s="7"/>
      <c r="C301" s="7"/>
      <c r="D301" s="10"/>
      <c r="E301" s="10"/>
      <c r="F301" s="10"/>
      <c r="G301" s="11"/>
      <c r="H301" s="11"/>
      <c r="I301" s="11"/>
      <c r="J301" s="7"/>
      <c r="K301" s="7"/>
      <c r="L301" s="7"/>
      <c r="M301" s="29"/>
      <c r="N301" s="32"/>
      <c r="O301" s="32"/>
      <c r="P301" s="32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</row>
    <row r="302" spans="1:45" x14ac:dyDescent="0.3">
      <c r="A302" s="7"/>
      <c r="B302" s="7"/>
      <c r="C302" s="7"/>
      <c r="D302" s="10"/>
      <c r="E302" s="10"/>
      <c r="F302" s="10"/>
      <c r="G302" s="11"/>
      <c r="H302" s="11"/>
      <c r="I302" s="11"/>
      <c r="J302" s="7"/>
      <c r="K302" s="7"/>
      <c r="L302" s="7"/>
      <c r="M302" s="29"/>
      <c r="N302" s="32"/>
      <c r="O302" s="32"/>
      <c r="P302" s="32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</row>
    <row r="303" spans="1:45" x14ac:dyDescent="0.3">
      <c r="A303" s="7"/>
      <c r="B303" s="7"/>
      <c r="C303" s="7"/>
      <c r="D303" s="10"/>
      <c r="E303" s="10"/>
      <c r="F303" s="10"/>
      <c r="G303" s="11"/>
      <c r="H303" s="11"/>
      <c r="I303" s="11"/>
      <c r="J303" s="7"/>
      <c r="K303" s="7"/>
      <c r="L303" s="7"/>
      <c r="M303" s="29"/>
      <c r="N303" s="32"/>
      <c r="O303" s="32"/>
      <c r="P303" s="32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</row>
    <row r="304" spans="1:45" x14ac:dyDescent="0.3">
      <c r="A304" s="7"/>
      <c r="B304" s="7"/>
      <c r="C304" s="7"/>
      <c r="D304" s="10"/>
      <c r="E304" s="10"/>
      <c r="F304" s="10"/>
      <c r="G304" s="11"/>
      <c r="H304" s="11"/>
      <c r="I304" s="11"/>
      <c r="J304" s="7"/>
      <c r="K304" s="7"/>
      <c r="L304" s="7"/>
      <c r="M304" s="29"/>
      <c r="N304" s="32"/>
      <c r="O304" s="32"/>
      <c r="P304" s="32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</row>
    <row r="305" spans="1:45" x14ac:dyDescent="0.3">
      <c r="A305" s="7"/>
      <c r="B305" s="7"/>
      <c r="C305" s="7"/>
      <c r="D305" s="10"/>
      <c r="E305" s="10"/>
      <c r="F305" s="10"/>
      <c r="G305" s="11"/>
      <c r="H305" s="11"/>
      <c r="I305" s="11"/>
      <c r="J305" s="7"/>
      <c r="K305" s="7"/>
      <c r="L305" s="7"/>
      <c r="M305" s="29"/>
      <c r="N305" s="32"/>
      <c r="O305" s="32"/>
      <c r="P305" s="32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</row>
    <row r="306" spans="1:45" x14ac:dyDescent="0.3">
      <c r="A306" s="7"/>
      <c r="B306" s="7"/>
      <c r="C306" s="7"/>
      <c r="D306" s="10"/>
      <c r="E306" s="10"/>
      <c r="F306" s="10"/>
      <c r="G306" s="11"/>
      <c r="H306" s="11"/>
      <c r="I306" s="11"/>
      <c r="J306" s="7"/>
      <c r="K306" s="7"/>
      <c r="L306" s="7"/>
      <c r="M306" s="29"/>
      <c r="N306" s="32"/>
      <c r="O306" s="32"/>
      <c r="P306" s="32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</row>
    <row r="307" spans="1:45" x14ac:dyDescent="0.3">
      <c r="A307" s="7"/>
      <c r="B307" s="7"/>
      <c r="C307" s="7"/>
      <c r="D307" s="10"/>
      <c r="E307" s="10"/>
      <c r="F307" s="10"/>
      <c r="G307" s="11"/>
      <c r="H307" s="11"/>
      <c r="I307" s="11"/>
      <c r="J307" s="7"/>
      <c r="K307" s="7"/>
      <c r="L307" s="7"/>
      <c r="M307" s="29"/>
      <c r="N307" s="32"/>
      <c r="O307" s="32"/>
      <c r="P307" s="32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</row>
    <row r="308" spans="1:45" x14ac:dyDescent="0.3">
      <c r="A308" s="7"/>
      <c r="B308" s="7"/>
      <c r="C308" s="7"/>
      <c r="D308" s="10"/>
      <c r="E308" s="10"/>
      <c r="F308" s="10"/>
      <c r="G308" s="11"/>
      <c r="H308" s="11"/>
      <c r="I308" s="11"/>
      <c r="J308" s="7"/>
      <c r="K308" s="7"/>
      <c r="L308" s="7"/>
      <c r="M308" s="29"/>
      <c r="N308" s="32"/>
      <c r="O308" s="32"/>
      <c r="P308" s="32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</row>
    <row r="309" spans="1:45" x14ac:dyDescent="0.3">
      <c r="A309" s="7"/>
      <c r="B309" s="7"/>
      <c r="C309" s="7"/>
      <c r="D309" s="10"/>
      <c r="E309" s="10"/>
      <c r="F309" s="10"/>
      <c r="G309" s="11"/>
      <c r="H309" s="11"/>
      <c r="I309" s="11"/>
      <c r="J309" s="7"/>
      <c r="K309" s="7"/>
      <c r="L309" s="7"/>
      <c r="M309" s="29"/>
      <c r="N309" s="32"/>
      <c r="O309" s="32"/>
      <c r="P309" s="32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</row>
    <row r="310" spans="1:45" x14ac:dyDescent="0.3">
      <c r="A310" s="7"/>
      <c r="B310" s="7"/>
      <c r="C310" s="7"/>
      <c r="D310" s="10"/>
      <c r="E310" s="10"/>
      <c r="F310" s="10"/>
      <c r="G310" s="11"/>
      <c r="H310" s="11"/>
      <c r="I310" s="11"/>
      <c r="J310" s="7"/>
      <c r="K310" s="7"/>
      <c r="L310" s="7"/>
      <c r="M310" s="29"/>
      <c r="N310" s="32"/>
      <c r="O310" s="32"/>
      <c r="P310" s="32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</row>
    <row r="311" spans="1:45" x14ac:dyDescent="0.3">
      <c r="A311" s="7"/>
      <c r="B311" s="7"/>
      <c r="C311" s="7"/>
      <c r="D311" s="10"/>
      <c r="E311" s="10"/>
      <c r="F311" s="10"/>
      <c r="G311" s="11"/>
      <c r="H311" s="11"/>
      <c r="I311" s="11"/>
      <c r="J311" s="7"/>
      <c r="K311" s="7"/>
      <c r="L311" s="7"/>
      <c r="M311" s="29"/>
      <c r="N311" s="32"/>
      <c r="O311" s="32"/>
      <c r="P311" s="32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</row>
    <row r="312" spans="1:45" x14ac:dyDescent="0.3">
      <c r="A312" s="7"/>
      <c r="B312" s="7"/>
      <c r="C312" s="7"/>
      <c r="D312" s="10"/>
      <c r="E312" s="10"/>
      <c r="F312" s="10"/>
      <c r="G312" s="11"/>
      <c r="H312" s="11"/>
      <c r="I312" s="11"/>
      <c r="J312" s="7"/>
      <c r="K312" s="7"/>
      <c r="L312" s="7"/>
      <c r="M312" s="29"/>
      <c r="N312" s="32"/>
      <c r="O312" s="32"/>
      <c r="P312" s="32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</row>
    <row r="313" spans="1:45" x14ac:dyDescent="0.3">
      <c r="A313" s="7"/>
      <c r="B313" s="7"/>
      <c r="C313" s="7"/>
      <c r="D313" s="10"/>
      <c r="E313" s="10"/>
      <c r="F313" s="10"/>
      <c r="G313" s="11"/>
      <c r="H313" s="11"/>
      <c r="I313" s="11"/>
      <c r="J313" s="7"/>
      <c r="K313" s="7"/>
      <c r="L313" s="7"/>
      <c r="M313" s="29"/>
      <c r="N313" s="32"/>
      <c r="O313" s="32"/>
      <c r="P313" s="32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</row>
    <row r="314" spans="1:45" x14ac:dyDescent="0.3">
      <c r="A314" s="7"/>
      <c r="B314" s="7"/>
      <c r="C314" s="7"/>
      <c r="D314" s="10"/>
      <c r="E314" s="10"/>
      <c r="F314" s="10"/>
      <c r="G314" s="11"/>
      <c r="H314" s="11"/>
      <c r="I314" s="11"/>
      <c r="J314" s="7"/>
      <c r="K314" s="7"/>
      <c r="L314" s="7"/>
      <c r="M314" s="29"/>
      <c r="N314" s="32"/>
      <c r="O314" s="32"/>
      <c r="P314" s="32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</row>
    <row r="315" spans="1:45" x14ac:dyDescent="0.3">
      <c r="A315" s="7"/>
      <c r="B315" s="7"/>
      <c r="C315" s="7"/>
      <c r="D315" s="10"/>
      <c r="E315" s="10"/>
      <c r="F315" s="10"/>
      <c r="G315" s="11"/>
      <c r="H315" s="11"/>
      <c r="I315" s="11"/>
      <c r="J315" s="7"/>
      <c r="K315" s="7"/>
      <c r="L315" s="7"/>
      <c r="M315" s="29"/>
      <c r="N315" s="32"/>
      <c r="O315" s="32"/>
      <c r="P315" s="32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</row>
    <row r="316" spans="1:45" x14ac:dyDescent="0.3">
      <c r="A316" s="7"/>
      <c r="B316" s="7"/>
      <c r="C316" s="7"/>
      <c r="D316" s="10"/>
      <c r="E316" s="10"/>
      <c r="F316" s="10"/>
      <c r="G316" s="11"/>
      <c r="H316" s="11"/>
      <c r="I316" s="11"/>
      <c r="J316" s="7"/>
      <c r="K316" s="7"/>
      <c r="L316" s="7"/>
      <c r="M316" s="29"/>
      <c r="N316" s="32"/>
      <c r="O316" s="32"/>
      <c r="P316" s="32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</row>
    <row r="317" spans="1:45" x14ac:dyDescent="0.3">
      <c r="A317" s="7"/>
      <c r="B317" s="7"/>
      <c r="C317" s="7"/>
      <c r="D317" s="10"/>
      <c r="E317" s="10"/>
      <c r="F317" s="10"/>
      <c r="G317" s="11"/>
      <c r="H317" s="11"/>
      <c r="I317" s="11"/>
      <c r="J317" s="7"/>
      <c r="K317" s="7"/>
      <c r="L317" s="7"/>
      <c r="M317" s="29"/>
      <c r="N317" s="32"/>
      <c r="O317" s="32"/>
      <c r="P317" s="32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</row>
    <row r="318" spans="1:45" x14ac:dyDescent="0.3">
      <c r="A318" s="7"/>
      <c r="B318" s="7"/>
      <c r="C318" s="7"/>
      <c r="D318" s="10"/>
      <c r="E318" s="10"/>
      <c r="F318" s="10"/>
      <c r="G318" s="11"/>
      <c r="H318" s="11"/>
      <c r="I318" s="11"/>
      <c r="J318" s="7"/>
      <c r="K318" s="7"/>
      <c r="L318" s="7"/>
      <c r="M318" s="29"/>
      <c r="N318" s="32"/>
      <c r="O318" s="32"/>
      <c r="P318" s="32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</row>
    <row r="319" spans="1:45" x14ac:dyDescent="0.3">
      <c r="A319" s="7"/>
      <c r="B319" s="7"/>
      <c r="C319" s="7"/>
      <c r="D319" s="10"/>
      <c r="E319" s="10"/>
      <c r="F319" s="10"/>
      <c r="G319" s="11"/>
      <c r="H319" s="11"/>
      <c r="I319" s="11"/>
      <c r="J319" s="7"/>
      <c r="K319" s="7"/>
      <c r="L319" s="7"/>
      <c r="M319" s="29"/>
      <c r="N319" s="32"/>
      <c r="O319" s="32"/>
      <c r="P319" s="32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</row>
    <row r="320" spans="1:45" x14ac:dyDescent="0.3">
      <c r="A320" s="7"/>
      <c r="B320" s="7"/>
      <c r="C320" s="7"/>
      <c r="D320" s="10"/>
      <c r="E320" s="10"/>
      <c r="F320" s="10"/>
      <c r="G320" s="11"/>
      <c r="H320" s="11"/>
      <c r="I320" s="11"/>
      <c r="J320" s="7"/>
      <c r="K320" s="7"/>
      <c r="L320" s="7"/>
      <c r="M320" s="29"/>
      <c r="N320" s="32"/>
      <c r="O320" s="32"/>
      <c r="P320" s="32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</row>
    <row r="321" spans="1:45" x14ac:dyDescent="0.3">
      <c r="A321" s="7"/>
      <c r="B321" s="7"/>
      <c r="C321" s="7"/>
      <c r="D321" s="10"/>
      <c r="E321" s="10"/>
      <c r="F321" s="10"/>
      <c r="G321" s="11"/>
      <c r="H321" s="11"/>
      <c r="I321" s="11"/>
      <c r="J321" s="7"/>
      <c r="K321" s="7"/>
      <c r="L321" s="7"/>
      <c r="M321" s="29"/>
      <c r="N321" s="32"/>
      <c r="O321" s="32"/>
      <c r="P321" s="32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</row>
    <row r="322" spans="1:45" x14ac:dyDescent="0.3">
      <c r="A322" s="7"/>
      <c r="B322" s="7"/>
      <c r="C322" s="7"/>
      <c r="D322" s="10"/>
      <c r="E322" s="10"/>
      <c r="F322" s="10"/>
      <c r="G322" s="11"/>
      <c r="H322" s="11"/>
      <c r="I322" s="11"/>
      <c r="J322" s="7"/>
      <c r="K322" s="7"/>
      <c r="L322" s="7"/>
      <c r="M322" s="29"/>
      <c r="N322" s="32"/>
      <c r="O322" s="32"/>
      <c r="P322" s="32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</row>
    <row r="323" spans="1:45" x14ac:dyDescent="0.3">
      <c r="A323" s="7"/>
      <c r="B323" s="7"/>
      <c r="C323" s="7"/>
      <c r="D323" s="10"/>
      <c r="E323" s="10"/>
      <c r="F323" s="10"/>
      <c r="G323" s="11"/>
      <c r="H323" s="11"/>
      <c r="I323" s="11"/>
      <c r="J323" s="7"/>
      <c r="K323" s="7"/>
      <c r="L323" s="7"/>
      <c r="M323" s="29"/>
      <c r="N323" s="32"/>
      <c r="O323" s="32"/>
      <c r="P323" s="32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</row>
    <row r="324" spans="1:45" x14ac:dyDescent="0.3">
      <c r="A324" s="7"/>
      <c r="B324" s="7"/>
      <c r="C324" s="7"/>
      <c r="D324" s="10"/>
      <c r="E324" s="10"/>
      <c r="F324" s="10"/>
      <c r="G324" s="11"/>
      <c r="H324" s="11"/>
      <c r="I324" s="11"/>
      <c r="J324" s="7"/>
      <c r="K324" s="7"/>
      <c r="L324" s="7"/>
      <c r="M324" s="29"/>
      <c r="N324" s="32"/>
      <c r="O324" s="32"/>
      <c r="P324" s="32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</row>
    <row r="325" spans="1:45" x14ac:dyDescent="0.3">
      <c r="A325" s="7"/>
      <c r="B325" s="7"/>
      <c r="C325" s="7"/>
      <c r="D325" s="10"/>
      <c r="E325" s="10"/>
      <c r="F325" s="10"/>
      <c r="G325" s="11"/>
      <c r="H325" s="11"/>
      <c r="I325" s="11"/>
      <c r="J325" s="7"/>
      <c r="K325" s="7"/>
      <c r="L325" s="7"/>
      <c r="M325" s="29"/>
      <c r="N325" s="32"/>
      <c r="O325" s="32"/>
      <c r="P325" s="32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</row>
    <row r="326" spans="1:45" x14ac:dyDescent="0.3">
      <c r="A326" s="7"/>
      <c r="B326" s="7"/>
      <c r="C326" s="7"/>
      <c r="D326" s="10"/>
      <c r="E326" s="10"/>
      <c r="F326" s="10"/>
      <c r="G326" s="11"/>
      <c r="H326" s="11"/>
      <c r="I326" s="11"/>
      <c r="J326" s="7"/>
      <c r="K326" s="7"/>
      <c r="L326" s="7"/>
      <c r="M326" s="29"/>
      <c r="N326" s="32"/>
      <c r="O326" s="32"/>
      <c r="P326" s="32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</row>
    <row r="327" spans="1:45" x14ac:dyDescent="0.3">
      <c r="A327" s="7"/>
      <c r="B327" s="7"/>
      <c r="C327" s="7"/>
      <c r="D327" s="10"/>
      <c r="E327" s="10"/>
      <c r="F327" s="10"/>
      <c r="G327" s="11"/>
      <c r="H327" s="11"/>
      <c r="I327" s="11"/>
      <c r="J327" s="7"/>
      <c r="K327" s="7"/>
      <c r="L327" s="7"/>
      <c r="M327" s="29"/>
      <c r="N327" s="32"/>
      <c r="O327" s="32"/>
      <c r="P327" s="32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</row>
    <row r="328" spans="1:45" x14ac:dyDescent="0.3">
      <c r="A328" s="7"/>
      <c r="B328" s="7"/>
      <c r="C328" s="7"/>
      <c r="D328" s="10"/>
      <c r="E328" s="10"/>
      <c r="F328" s="10"/>
      <c r="G328" s="11"/>
      <c r="H328" s="11"/>
      <c r="I328" s="11"/>
      <c r="J328" s="7"/>
      <c r="K328" s="7"/>
      <c r="L328" s="7"/>
      <c r="M328" s="29"/>
      <c r="N328" s="32"/>
      <c r="O328" s="32"/>
      <c r="P328" s="32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</row>
    <row r="329" spans="1:45" x14ac:dyDescent="0.3">
      <c r="A329" s="7"/>
      <c r="B329" s="7"/>
      <c r="C329" s="7"/>
      <c r="D329" s="10"/>
      <c r="E329" s="10"/>
      <c r="F329" s="10"/>
      <c r="G329" s="11"/>
      <c r="H329" s="11"/>
      <c r="I329" s="11"/>
      <c r="J329" s="7"/>
      <c r="K329" s="7"/>
      <c r="L329" s="7"/>
      <c r="M329" s="29"/>
      <c r="N329" s="32"/>
      <c r="O329" s="32"/>
      <c r="P329" s="32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</row>
    <row r="330" spans="1:45" x14ac:dyDescent="0.3">
      <c r="A330" s="7"/>
      <c r="B330" s="7"/>
      <c r="C330" s="7"/>
      <c r="D330" s="10"/>
      <c r="E330" s="10"/>
      <c r="F330" s="10"/>
      <c r="G330" s="11"/>
      <c r="H330" s="11"/>
      <c r="I330" s="11"/>
      <c r="J330" s="7"/>
      <c r="K330" s="7"/>
      <c r="L330" s="7"/>
      <c r="M330" s="29"/>
      <c r="N330" s="32"/>
      <c r="O330" s="32"/>
      <c r="P330" s="32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</row>
    <row r="331" spans="1:45" x14ac:dyDescent="0.3">
      <c r="A331" s="7"/>
      <c r="B331" s="7"/>
      <c r="C331" s="7"/>
      <c r="D331" s="10"/>
      <c r="E331" s="10"/>
      <c r="F331" s="10"/>
      <c r="G331" s="11"/>
      <c r="H331" s="11"/>
      <c r="I331" s="11"/>
      <c r="J331" s="7"/>
      <c r="K331" s="7"/>
      <c r="L331" s="7"/>
      <c r="M331" s="29"/>
      <c r="N331" s="32"/>
      <c r="O331" s="32"/>
      <c r="P331" s="32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</row>
    <row r="332" spans="1:45" x14ac:dyDescent="0.3">
      <c r="A332" s="7"/>
      <c r="B332" s="7"/>
      <c r="C332" s="7"/>
      <c r="D332" s="10"/>
      <c r="E332" s="10"/>
      <c r="F332" s="10"/>
      <c r="G332" s="11"/>
      <c r="H332" s="11"/>
      <c r="I332" s="11"/>
      <c r="J332" s="7"/>
      <c r="K332" s="7"/>
      <c r="L332" s="7"/>
      <c r="M332" s="29"/>
      <c r="N332" s="32"/>
      <c r="O332" s="32"/>
      <c r="P332" s="32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</row>
    <row r="333" spans="1:45" x14ac:dyDescent="0.3">
      <c r="A333" s="7"/>
      <c r="B333" s="7"/>
      <c r="C333" s="7"/>
      <c r="D333" s="10"/>
      <c r="E333" s="10"/>
      <c r="F333" s="10"/>
      <c r="G333" s="11"/>
      <c r="H333" s="11"/>
      <c r="I333" s="11"/>
      <c r="J333" s="7"/>
      <c r="K333" s="7"/>
      <c r="L333" s="7"/>
      <c r="M333" s="29"/>
      <c r="N333" s="32"/>
      <c r="O333" s="32"/>
      <c r="P333" s="32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</row>
    <row r="334" spans="1:45" x14ac:dyDescent="0.3">
      <c r="A334" s="7"/>
      <c r="B334" s="7"/>
      <c r="C334" s="7"/>
      <c r="D334" s="10"/>
      <c r="E334" s="10"/>
      <c r="F334" s="10"/>
      <c r="G334" s="11"/>
      <c r="H334" s="11"/>
      <c r="I334" s="11"/>
      <c r="J334" s="7"/>
      <c r="K334" s="7"/>
      <c r="L334" s="7"/>
      <c r="M334" s="29"/>
      <c r="N334" s="32"/>
      <c r="O334" s="32"/>
      <c r="P334" s="32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</row>
    <row r="335" spans="1:45" x14ac:dyDescent="0.3">
      <c r="A335" s="7"/>
      <c r="B335" s="7"/>
      <c r="C335" s="7"/>
      <c r="D335" s="10"/>
      <c r="E335" s="10"/>
      <c r="F335" s="10"/>
      <c r="G335" s="11"/>
      <c r="H335" s="11"/>
      <c r="I335" s="11"/>
      <c r="J335" s="7"/>
      <c r="K335" s="7"/>
      <c r="L335" s="7"/>
      <c r="M335" s="29"/>
      <c r="N335" s="32"/>
      <c r="O335" s="32"/>
      <c r="P335" s="32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</row>
    <row r="336" spans="1:45" x14ac:dyDescent="0.3">
      <c r="A336" s="7"/>
      <c r="B336" s="7"/>
      <c r="C336" s="7"/>
      <c r="D336" s="10"/>
      <c r="E336" s="10"/>
      <c r="F336" s="10"/>
      <c r="G336" s="11"/>
      <c r="H336" s="11"/>
      <c r="I336" s="11"/>
      <c r="J336" s="7"/>
      <c r="K336" s="7"/>
      <c r="L336" s="7"/>
      <c r="M336" s="29"/>
      <c r="N336" s="32"/>
      <c r="O336" s="32"/>
      <c r="P336" s="32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</row>
    <row r="337" spans="1:45" x14ac:dyDescent="0.3">
      <c r="A337" s="7"/>
      <c r="B337" s="7"/>
      <c r="C337" s="7"/>
      <c r="D337" s="10"/>
      <c r="E337" s="10"/>
      <c r="F337" s="10"/>
      <c r="G337" s="11"/>
      <c r="H337" s="11"/>
      <c r="I337" s="11"/>
      <c r="J337" s="7"/>
      <c r="K337" s="7"/>
      <c r="L337" s="7"/>
      <c r="M337" s="29"/>
      <c r="N337" s="32"/>
      <c r="O337" s="32"/>
      <c r="P337" s="32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</row>
    <row r="338" spans="1:45" x14ac:dyDescent="0.3">
      <c r="A338" s="7"/>
      <c r="B338" s="7"/>
      <c r="C338" s="7"/>
      <c r="D338" s="10"/>
      <c r="E338" s="10"/>
      <c r="F338" s="10"/>
      <c r="G338" s="11"/>
      <c r="H338" s="11"/>
      <c r="I338" s="11"/>
      <c r="J338" s="7"/>
      <c r="K338" s="7"/>
      <c r="L338" s="7"/>
      <c r="M338" s="29"/>
      <c r="N338" s="32"/>
      <c r="O338" s="32"/>
      <c r="P338" s="32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</row>
    <row r="339" spans="1:45" x14ac:dyDescent="0.3">
      <c r="A339" s="7"/>
      <c r="B339" s="7"/>
      <c r="C339" s="7"/>
      <c r="D339" s="10"/>
      <c r="E339" s="10"/>
      <c r="F339" s="10"/>
      <c r="G339" s="11"/>
      <c r="H339" s="11"/>
      <c r="I339" s="11"/>
      <c r="J339" s="7"/>
      <c r="K339" s="7"/>
      <c r="L339" s="7"/>
      <c r="M339" s="29"/>
      <c r="N339" s="32"/>
      <c r="O339" s="32"/>
      <c r="P339" s="32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</row>
    <row r="340" spans="1:45" x14ac:dyDescent="0.3">
      <c r="A340" s="7"/>
      <c r="B340" s="7"/>
      <c r="C340" s="7"/>
      <c r="D340" s="10"/>
      <c r="E340" s="10"/>
      <c r="F340" s="10"/>
      <c r="G340" s="11"/>
      <c r="H340" s="11"/>
      <c r="I340" s="11"/>
      <c r="J340" s="7"/>
      <c r="K340" s="7"/>
      <c r="L340" s="7"/>
      <c r="M340" s="29"/>
      <c r="N340" s="32"/>
      <c r="O340" s="32"/>
      <c r="P340" s="32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</row>
    <row r="341" spans="1:45" x14ac:dyDescent="0.3">
      <c r="A341" s="7"/>
      <c r="B341" s="7"/>
      <c r="C341" s="7"/>
      <c r="D341" s="10"/>
      <c r="E341" s="10"/>
      <c r="F341" s="10"/>
      <c r="G341" s="11"/>
      <c r="H341" s="11"/>
      <c r="I341" s="11"/>
      <c r="J341" s="7"/>
      <c r="K341" s="7"/>
      <c r="L341" s="7"/>
      <c r="M341" s="29"/>
      <c r="N341" s="32"/>
      <c r="O341" s="32"/>
      <c r="P341" s="32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</row>
    <row r="342" spans="1:45" x14ac:dyDescent="0.3">
      <c r="A342" s="7"/>
      <c r="B342" s="7"/>
      <c r="C342" s="7"/>
      <c r="D342" s="10"/>
      <c r="E342" s="10"/>
      <c r="F342" s="10"/>
      <c r="G342" s="11"/>
      <c r="H342" s="11"/>
      <c r="I342" s="11"/>
      <c r="J342" s="7"/>
      <c r="K342" s="7"/>
      <c r="L342" s="7"/>
      <c r="M342" s="29"/>
      <c r="N342" s="32"/>
      <c r="O342" s="32"/>
      <c r="P342" s="32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</row>
    <row r="343" spans="1:45" x14ac:dyDescent="0.3">
      <c r="A343" s="7"/>
      <c r="B343" s="7"/>
      <c r="C343" s="7"/>
      <c r="D343" s="10"/>
      <c r="E343" s="10"/>
      <c r="F343" s="10"/>
      <c r="G343" s="11"/>
      <c r="H343" s="11"/>
      <c r="I343" s="11"/>
      <c r="J343" s="7"/>
      <c r="K343" s="7"/>
      <c r="L343" s="7"/>
      <c r="M343" s="29"/>
      <c r="N343" s="32"/>
      <c r="O343" s="32"/>
      <c r="P343" s="32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</row>
    <row r="344" spans="1:45" x14ac:dyDescent="0.3">
      <c r="A344" s="7"/>
      <c r="B344" s="7"/>
      <c r="C344" s="7"/>
      <c r="D344" s="10"/>
      <c r="E344" s="10"/>
      <c r="F344" s="10"/>
      <c r="G344" s="11"/>
      <c r="H344" s="11"/>
      <c r="I344" s="11"/>
      <c r="J344" s="7"/>
      <c r="K344" s="7"/>
      <c r="L344" s="7"/>
      <c r="M344" s="29"/>
      <c r="N344" s="32"/>
      <c r="O344" s="32"/>
      <c r="P344" s="32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</row>
    <row r="345" spans="1:45" x14ac:dyDescent="0.3">
      <c r="A345" s="7"/>
      <c r="B345" s="7"/>
      <c r="C345" s="7"/>
      <c r="D345" s="10"/>
      <c r="E345" s="10"/>
      <c r="F345" s="10"/>
      <c r="G345" s="11"/>
      <c r="H345" s="11"/>
      <c r="I345" s="11"/>
      <c r="J345" s="7"/>
      <c r="K345" s="7"/>
      <c r="L345" s="7"/>
      <c r="M345" s="29"/>
      <c r="N345" s="32"/>
      <c r="O345" s="32"/>
      <c r="P345" s="32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</row>
    <row r="346" spans="1:45" x14ac:dyDescent="0.3">
      <c r="A346" s="7"/>
      <c r="B346" s="7"/>
      <c r="C346" s="7"/>
      <c r="D346" s="10"/>
      <c r="E346" s="10"/>
      <c r="F346" s="10"/>
      <c r="G346" s="11"/>
      <c r="H346" s="11"/>
      <c r="I346" s="11"/>
      <c r="J346" s="7"/>
      <c r="K346" s="7"/>
      <c r="L346" s="7"/>
      <c r="M346" s="29"/>
      <c r="N346" s="32"/>
      <c r="O346" s="32"/>
      <c r="P346" s="32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</row>
    <row r="347" spans="1:45" x14ac:dyDescent="0.3">
      <c r="A347" s="7"/>
      <c r="B347" s="7"/>
      <c r="C347" s="7"/>
      <c r="D347" s="10"/>
      <c r="E347" s="10"/>
      <c r="F347" s="10"/>
      <c r="G347" s="11"/>
      <c r="H347" s="11"/>
      <c r="I347" s="11"/>
      <c r="J347" s="7"/>
      <c r="K347" s="7"/>
      <c r="L347" s="7"/>
      <c r="M347" s="29"/>
      <c r="N347" s="32"/>
      <c r="O347" s="32"/>
      <c r="P347" s="32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</row>
    <row r="348" spans="1:45" x14ac:dyDescent="0.3">
      <c r="A348" s="7"/>
      <c r="B348" s="7"/>
      <c r="C348" s="7"/>
      <c r="D348" s="10"/>
      <c r="E348" s="10"/>
      <c r="F348" s="10"/>
      <c r="G348" s="11"/>
      <c r="H348" s="11"/>
      <c r="I348" s="11"/>
      <c r="J348" s="7"/>
      <c r="K348" s="7"/>
      <c r="L348" s="7"/>
      <c r="M348" s="29"/>
      <c r="N348" s="32"/>
      <c r="O348" s="32"/>
      <c r="P348" s="32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</row>
    <row r="349" spans="1:45" x14ac:dyDescent="0.3">
      <c r="A349" s="7"/>
      <c r="B349" s="7"/>
      <c r="C349" s="7"/>
      <c r="D349" s="10"/>
      <c r="E349" s="10"/>
      <c r="F349" s="10"/>
      <c r="G349" s="11"/>
      <c r="H349" s="11"/>
      <c r="I349" s="11"/>
      <c r="J349" s="7"/>
      <c r="K349" s="7"/>
      <c r="L349" s="7"/>
      <c r="M349" s="29"/>
      <c r="N349" s="32"/>
      <c r="O349" s="32"/>
      <c r="P349" s="32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</row>
    <row r="350" spans="1:45" x14ac:dyDescent="0.3">
      <c r="A350" s="7"/>
      <c r="B350" s="7"/>
      <c r="C350" s="7"/>
      <c r="D350" s="10"/>
      <c r="E350" s="10"/>
      <c r="F350" s="10"/>
      <c r="G350" s="11"/>
      <c r="H350" s="11"/>
      <c r="I350" s="11"/>
      <c r="J350" s="7"/>
      <c r="K350" s="7"/>
      <c r="L350" s="7"/>
      <c r="M350" s="29"/>
      <c r="N350" s="32"/>
      <c r="O350" s="32"/>
      <c r="P350" s="32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</row>
    <row r="351" spans="1:45" x14ac:dyDescent="0.3">
      <c r="A351" s="7"/>
      <c r="B351" s="7"/>
      <c r="C351" s="7"/>
      <c r="D351" s="10"/>
      <c r="E351" s="10"/>
      <c r="F351" s="10"/>
      <c r="G351" s="11"/>
      <c r="H351" s="11"/>
      <c r="I351" s="11"/>
      <c r="J351" s="7"/>
      <c r="K351" s="7"/>
      <c r="L351" s="7"/>
      <c r="M351" s="29"/>
      <c r="N351" s="32"/>
      <c r="O351" s="32"/>
      <c r="P351" s="32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</row>
    <row r="352" spans="1:45" x14ac:dyDescent="0.3">
      <c r="A352" s="7"/>
      <c r="B352" s="7"/>
      <c r="C352" s="7"/>
      <c r="D352" s="10"/>
      <c r="E352" s="10"/>
      <c r="F352" s="10"/>
      <c r="G352" s="11"/>
      <c r="H352" s="11"/>
      <c r="I352" s="11"/>
      <c r="J352" s="7"/>
      <c r="K352" s="7"/>
      <c r="L352" s="7"/>
      <c r="M352" s="29"/>
      <c r="N352" s="32"/>
      <c r="O352" s="32"/>
      <c r="P352" s="32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</row>
    <row r="353" spans="1:45" x14ac:dyDescent="0.3">
      <c r="A353" s="7"/>
      <c r="B353" s="7"/>
      <c r="C353" s="7"/>
      <c r="D353" s="10"/>
      <c r="E353" s="10"/>
      <c r="F353" s="10"/>
      <c r="G353" s="11"/>
      <c r="H353" s="11"/>
      <c r="I353" s="11"/>
      <c r="J353" s="7"/>
      <c r="K353" s="7"/>
      <c r="L353" s="7"/>
      <c r="M353" s="29"/>
      <c r="N353" s="32"/>
      <c r="O353" s="32"/>
      <c r="P353" s="32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</row>
    <row r="354" spans="1:45" x14ac:dyDescent="0.3">
      <c r="A354" s="7"/>
      <c r="B354" s="7"/>
      <c r="C354" s="7"/>
      <c r="D354" s="10"/>
      <c r="E354" s="10"/>
      <c r="F354" s="10"/>
      <c r="G354" s="11"/>
      <c r="H354" s="11"/>
      <c r="I354" s="11"/>
      <c r="J354" s="7"/>
      <c r="K354" s="7"/>
      <c r="L354" s="7"/>
      <c r="M354" s="29"/>
      <c r="N354" s="32"/>
      <c r="O354" s="32"/>
      <c r="P354" s="32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</row>
    <row r="355" spans="1:45" x14ac:dyDescent="0.3">
      <c r="A355" s="7"/>
      <c r="B355" s="7"/>
      <c r="C355" s="7"/>
      <c r="D355" s="10"/>
      <c r="E355" s="10"/>
      <c r="F355" s="10"/>
      <c r="G355" s="11"/>
      <c r="H355" s="11"/>
      <c r="I355" s="11"/>
      <c r="J355" s="7"/>
      <c r="K355" s="7"/>
      <c r="L355" s="7"/>
      <c r="M355" s="29"/>
      <c r="N355" s="32"/>
      <c r="O355" s="32"/>
      <c r="P355" s="32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</row>
    <row r="356" spans="1:45" x14ac:dyDescent="0.3">
      <c r="A356" s="7"/>
      <c r="B356" s="7"/>
      <c r="C356" s="7"/>
      <c r="D356" s="10"/>
      <c r="E356" s="10"/>
      <c r="F356" s="10"/>
      <c r="G356" s="11"/>
      <c r="H356" s="11"/>
      <c r="I356" s="11"/>
      <c r="J356" s="7"/>
      <c r="K356" s="7"/>
      <c r="L356" s="7"/>
      <c r="M356" s="29"/>
      <c r="N356" s="32"/>
      <c r="O356" s="32"/>
      <c r="P356" s="32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</row>
    <row r="357" spans="1:45" x14ac:dyDescent="0.3">
      <c r="A357" s="7"/>
      <c r="B357" s="7"/>
      <c r="C357" s="7"/>
      <c r="D357" s="10"/>
      <c r="E357" s="10"/>
      <c r="F357" s="10"/>
      <c r="G357" s="11"/>
      <c r="H357" s="11"/>
      <c r="I357" s="11"/>
      <c r="J357" s="7"/>
      <c r="K357" s="7"/>
      <c r="L357" s="7"/>
      <c r="M357" s="29"/>
      <c r="N357" s="32"/>
      <c r="O357" s="32"/>
      <c r="P357" s="32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</row>
    <row r="358" spans="1:45" x14ac:dyDescent="0.3">
      <c r="A358" s="7"/>
      <c r="B358" s="7"/>
      <c r="C358" s="7"/>
      <c r="D358" s="10"/>
      <c r="E358" s="10"/>
      <c r="F358" s="10"/>
      <c r="G358" s="11"/>
      <c r="H358" s="11"/>
      <c r="I358" s="11"/>
      <c r="J358" s="7"/>
      <c r="K358" s="7"/>
      <c r="L358" s="7"/>
      <c r="M358" s="29"/>
      <c r="N358" s="32"/>
      <c r="O358" s="32"/>
      <c r="P358" s="32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</row>
    <row r="359" spans="1:45" x14ac:dyDescent="0.3">
      <c r="A359" s="7"/>
      <c r="B359" s="7"/>
      <c r="C359" s="7"/>
      <c r="D359" s="10"/>
      <c r="E359" s="10"/>
      <c r="F359" s="10"/>
      <c r="G359" s="11"/>
      <c r="H359" s="11"/>
      <c r="I359" s="11"/>
      <c r="J359" s="7"/>
      <c r="K359" s="7"/>
      <c r="L359" s="7"/>
      <c r="M359" s="29"/>
      <c r="N359" s="32"/>
      <c r="O359" s="32"/>
      <c r="P359" s="32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</row>
    <row r="360" spans="1:45" x14ac:dyDescent="0.3">
      <c r="A360" s="7"/>
      <c r="B360" s="7"/>
      <c r="C360" s="7"/>
      <c r="D360" s="10"/>
      <c r="E360" s="10"/>
      <c r="F360" s="10"/>
      <c r="G360" s="11"/>
      <c r="H360" s="11"/>
      <c r="I360" s="11"/>
      <c r="J360" s="7"/>
      <c r="K360" s="7"/>
      <c r="L360" s="7"/>
      <c r="M360" s="29"/>
      <c r="N360" s="32"/>
      <c r="O360" s="32"/>
      <c r="P360" s="32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</row>
    <row r="361" spans="1:45" x14ac:dyDescent="0.3">
      <c r="A361" s="7"/>
      <c r="B361" s="7"/>
      <c r="C361" s="7"/>
      <c r="D361" s="10"/>
      <c r="E361" s="10"/>
      <c r="F361" s="10"/>
      <c r="G361" s="11"/>
      <c r="H361" s="11"/>
      <c r="I361" s="11"/>
      <c r="J361" s="7"/>
      <c r="K361" s="7"/>
      <c r="L361" s="7"/>
      <c r="M361" s="29"/>
      <c r="N361" s="32"/>
      <c r="O361" s="32"/>
      <c r="P361" s="32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</row>
    <row r="362" spans="1:45" x14ac:dyDescent="0.3">
      <c r="A362" s="7"/>
      <c r="B362" s="7"/>
      <c r="C362" s="7"/>
      <c r="D362" s="10"/>
      <c r="E362" s="10"/>
      <c r="F362" s="10"/>
      <c r="G362" s="11"/>
      <c r="H362" s="11"/>
      <c r="I362" s="11"/>
      <c r="J362" s="7"/>
      <c r="K362" s="7"/>
      <c r="L362" s="7"/>
      <c r="M362" s="29"/>
      <c r="N362" s="32"/>
      <c r="O362" s="32"/>
      <c r="P362" s="32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</row>
    <row r="363" spans="1:45" x14ac:dyDescent="0.3">
      <c r="A363" s="7"/>
      <c r="B363" s="7"/>
      <c r="C363" s="7"/>
      <c r="D363" s="10"/>
      <c r="E363" s="10"/>
      <c r="F363" s="10"/>
      <c r="G363" s="11"/>
      <c r="H363" s="11"/>
      <c r="I363" s="11"/>
      <c r="J363" s="7"/>
      <c r="K363" s="7"/>
      <c r="L363" s="7"/>
      <c r="M363" s="29"/>
      <c r="N363" s="32"/>
      <c r="O363" s="32"/>
      <c r="P363" s="32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</row>
    <row r="364" spans="1:45" x14ac:dyDescent="0.3">
      <c r="A364" s="7"/>
      <c r="B364" s="7"/>
      <c r="C364" s="7"/>
      <c r="D364" s="10"/>
      <c r="E364" s="10"/>
      <c r="F364" s="10"/>
      <c r="G364" s="11"/>
      <c r="H364" s="11"/>
      <c r="I364" s="11"/>
      <c r="J364" s="7"/>
      <c r="K364" s="7"/>
      <c r="L364" s="7"/>
      <c r="M364" s="29"/>
      <c r="N364" s="32"/>
      <c r="O364" s="32"/>
      <c r="P364" s="32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</row>
    <row r="365" spans="1:45" x14ac:dyDescent="0.3">
      <c r="A365" s="7"/>
      <c r="B365" s="7"/>
      <c r="C365" s="7"/>
      <c r="D365" s="10"/>
      <c r="E365" s="10"/>
      <c r="F365" s="10"/>
      <c r="G365" s="11"/>
      <c r="H365" s="11"/>
      <c r="I365" s="11"/>
      <c r="J365" s="7"/>
      <c r="K365" s="7"/>
      <c r="L365" s="7"/>
      <c r="M365" s="29"/>
      <c r="N365" s="32"/>
      <c r="O365" s="32"/>
      <c r="P365" s="32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</row>
    <row r="366" spans="1:45" x14ac:dyDescent="0.3">
      <c r="A366" s="7"/>
      <c r="B366" s="7"/>
      <c r="C366" s="7"/>
      <c r="D366" s="10"/>
      <c r="E366" s="10"/>
      <c r="F366" s="10"/>
      <c r="G366" s="11"/>
      <c r="H366" s="11"/>
      <c r="I366" s="11"/>
      <c r="J366" s="7"/>
      <c r="K366" s="7"/>
      <c r="L366" s="7"/>
      <c r="M366" s="29"/>
      <c r="N366" s="32"/>
      <c r="O366" s="32"/>
      <c r="P366" s="32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</row>
    <row r="367" spans="1:45" x14ac:dyDescent="0.3">
      <c r="A367" s="7"/>
      <c r="B367" s="7"/>
      <c r="C367" s="7"/>
      <c r="D367" s="10"/>
      <c r="E367" s="10"/>
      <c r="F367" s="10"/>
      <c r="G367" s="11"/>
      <c r="H367" s="11"/>
      <c r="I367" s="11"/>
      <c r="J367" s="7"/>
      <c r="K367" s="7"/>
      <c r="L367" s="7"/>
      <c r="M367" s="29"/>
      <c r="N367" s="32"/>
      <c r="O367" s="32"/>
      <c r="P367" s="32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45" x14ac:dyDescent="0.3">
      <c r="A368" s="7"/>
      <c r="B368" s="7"/>
      <c r="C368" s="7"/>
      <c r="D368" s="10"/>
      <c r="E368" s="10"/>
      <c r="F368" s="10"/>
      <c r="G368" s="11"/>
      <c r="H368" s="11"/>
      <c r="I368" s="11"/>
      <c r="J368" s="7"/>
      <c r="K368" s="7"/>
      <c r="L368" s="7"/>
      <c r="M368" s="29"/>
      <c r="N368" s="32"/>
      <c r="O368" s="32"/>
      <c r="P368" s="32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</row>
    <row r="369" spans="1:45" x14ac:dyDescent="0.3">
      <c r="A369" s="7"/>
      <c r="B369" s="7"/>
      <c r="C369" s="7"/>
      <c r="D369" s="10"/>
      <c r="E369" s="10"/>
      <c r="F369" s="10"/>
      <c r="G369" s="11"/>
      <c r="H369" s="11"/>
      <c r="I369" s="11"/>
      <c r="J369" s="7"/>
      <c r="K369" s="7"/>
      <c r="L369" s="7"/>
      <c r="M369" s="29"/>
      <c r="N369" s="32"/>
      <c r="O369" s="32"/>
      <c r="P369" s="32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</row>
    <row r="370" spans="1:45" x14ac:dyDescent="0.3">
      <c r="A370" s="7"/>
      <c r="B370" s="7"/>
      <c r="C370" s="7"/>
      <c r="D370" s="10"/>
      <c r="E370" s="10"/>
      <c r="F370" s="10"/>
      <c r="G370" s="11"/>
      <c r="H370" s="11"/>
      <c r="I370" s="11"/>
      <c r="J370" s="7"/>
      <c r="K370" s="7"/>
      <c r="L370" s="7"/>
      <c r="M370" s="29"/>
      <c r="N370" s="32"/>
      <c r="O370" s="32"/>
      <c r="P370" s="32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</row>
    <row r="371" spans="1:45" x14ac:dyDescent="0.3">
      <c r="A371" s="7"/>
      <c r="B371" s="7"/>
      <c r="C371" s="7"/>
      <c r="D371" s="10"/>
      <c r="E371" s="10"/>
      <c r="F371" s="10"/>
      <c r="G371" s="11"/>
      <c r="H371" s="11"/>
      <c r="I371" s="11"/>
      <c r="J371" s="7"/>
      <c r="K371" s="7"/>
      <c r="L371" s="7"/>
      <c r="M371" s="29"/>
      <c r="N371" s="32"/>
      <c r="O371" s="32"/>
      <c r="P371" s="32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</row>
    <row r="372" spans="1:45" x14ac:dyDescent="0.3">
      <c r="A372" s="7"/>
      <c r="B372" s="7"/>
      <c r="C372" s="7"/>
      <c r="D372" s="10"/>
      <c r="E372" s="10"/>
      <c r="F372" s="10"/>
      <c r="G372" s="11"/>
      <c r="H372" s="11"/>
      <c r="I372" s="11"/>
      <c r="J372" s="7"/>
      <c r="K372" s="7"/>
      <c r="L372" s="7"/>
      <c r="M372" s="29"/>
      <c r="N372" s="32"/>
      <c r="O372" s="32"/>
      <c r="P372" s="32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</row>
    <row r="373" spans="1:45" x14ac:dyDescent="0.3">
      <c r="A373" s="7"/>
      <c r="B373" s="7"/>
      <c r="C373" s="7"/>
      <c r="D373" s="10"/>
      <c r="E373" s="10"/>
      <c r="F373" s="10"/>
      <c r="G373" s="11"/>
      <c r="H373" s="11"/>
      <c r="I373" s="11"/>
      <c r="J373" s="7"/>
      <c r="K373" s="7"/>
      <c r="L373" s="7"/>
      <c r="M373" s="29"/>
      <c r="N373" s="32"/>
      <c r="O373" s="32"/>
      <c r="P373" s="32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</row>
    <row r="374" spans="1:45" x14ac:dyDescent="0.3">
      <c r="A374" s="7"/>
      <c r="B374" s="7"/>
      <c r="C374" s="7"/>
      <c r="D374" s="10"/>
      <c r="E374" s="10"/>
      <c r="F374" s="10"/>
      <c r="G374" s="11"/>
      <c r="H374" s="11"/>
      <c r="I374" s="11"/>
      <c r="J374" s="7"/>
      <c r="K374" s="7"/>
      <c r="L374" s="7"/>
      <c r="M374" s="29"/>
      <c r="N374" s="32"/>
      <c r="O374" s="32"/>
      <c r="P374" s="32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</row>
    <row r="375" spans="1:45" x14ac:dyDescent="0.3">
      <c r="A375" s="7"/>
      <c r="B375" s="7"/>
      <c r="C375" s="7"/>
      <c r="D375" s="10"/>
      <c r="E375" s="10"/>
      <c r="F375" s="10"/>
      <c r="G375" s="11"/>
      <c r="H375" s="11"/>
      <c r="I375" s="11"/>
      <c r="J375" s="7"/>
      <c r="K375" s="7"/>
      <c r="L375" s="7"/>
      <c r="M375" s="29"/>
      <c r="N375" s="32"/>
      <c r="O375" s="32"/>
      <c r="P375" s="32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</row>
    <row r="376" spans="1:45" x14ac:dyDescent="0.3">
      <c r="A376" s="7"/>
      <c r="B376" s="7"/>
      <c r="C376" s="7"/>
      <c r="D376" s="10"/>
      <c r="E376" s="10"/>
      <c r="F376" s="10"/>
      <c r="G376" s="11"/>
      <c r="H376" s="11"/>
      <c r="I376" s="11"/>
      <c r="J376" s="7"/>
      <c r="K376" s="7"/>
      <c r="L376" s="7"/>
      <c r="M376" s="29"/>
      <c r="N376" s="32"/>
      <c r="O376" s="32"/>
      <c r="P376" s="32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</row>
    <row r="377" spans="1:45" x14ac:dyDescent="0.3">
      <c r="A377" s="7"/>
      <c r="B377" s="7"/>
      <c r="C377" s="7"/>
      <c r="D377" s="10"/>
      <c r="E377" s="10"/>
      <c r="F377" s="10"/>
      <c r="G377" s="11"/>
      <c r="H377" s="11"/>
      <c r="I377" s="11"/>
      <c r="J377" s="7"/>
      <c r="K377" s="7"/>
      <c r="L377" s="7"/>
      <c r="M377" s="29"/>
      <c r="N377" s="32"/>
      <c r="O377" s="32"/>
      <c r="P377" s="32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</row>
    <row r="378" spans="1:45" x14ac:dyDescent="0.3">
      <c r="A378" s="7"/>
      <c r="B378" s="7"/>
      <c r="C378" s="7"/>
      <c r="D378" s="10"/>
      <c r="E378" s="10"/>
      <c r="F378" s="10"/>
      <c r="G378" s="11"/>
      <c r="H378" s="11"/>
      <c r="I378" s="11"/>
      <c r="J378" s="7"/>
      <c r="K378" s="7"/>
      <c r="L378" s="7"/>
      <c r="M378" s="29"/>
      <c r="N378" s="32"/>
      <c r="O378" s="32"/>
      <c r="P378" s="32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</row>
    <row r="379" spans="1:45" x14ac:dyDescent="0.3">
      <c r="A379" s="7"/>
      <c r="B379" s="7"/>
      <c r="C379" s="7"/>
      <c r="D379" s="10"/>
      <c r="E379" s="10"/>
      <c r="F379" s="10"/>
      <c r="G379" s="11"/>
      <c r="H379" s="11"/>
      <c r="I379" s="11"/>
      <c r="J379" s="7"/>
      <c r="K379" s="7"/>
      <c r="L379" s="7"/>
      <c r="M379" s="29"/>
      <c r="N379" s="32"/>
      <c r="O379" s="32"/>
      <c r="P379" s="32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</row>
    <row r="380" spans="1:45" x14ac:dyDescent="0.3">
      <c r="A380" s="7"/>
      <c r="B380" s="7"/>
      <c r="C380" s="7"/>
      <c r="D380" s="10"/>
      <c r="E380" s="10"/>
      <c r="F380" s="10"/>
      <c r="G380" s="11"/>
      <c r="H380" s="11"/>
      <c r="I380" s="11"/>
      <c r="J380" s="7"/>
      <c r="K380" s="7"/>
      <c r="L380" s="7"/>
      <c r="M380" s="29"/>
      <c r="N380" s="32"/>
      <c r="O380" s="32"/>
      <c r="P380" s="32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</row>
    <row r="381" spans="1:45" x14ac:dyDescent="0.3">
      <c r="A381" s="7"/>
      <c r="B381" s="7"/>
      <c r="C381" s="7"/>
      <c r="D381" s="10"/>
      <c r="E381" s="10"/>
      <c r="F381" s="10"/>
      <c r="G381" s="11"/>
      <c r="H381" s="11"/>
      <c r="I381" s="11"/>
      <c r="J381" s="7"/>
      <c r="K381" s="7"/>
      <c r="L381" s="7"/>
      <c r="M381" s="29"/>
      <c r="N381" s="32"/>
      <c r="O381" s="32"/>
      <c r="P381" s="32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</row>
    <row r="382" spans="1:45" x14ac:dyDescent="0.3">
      <c r="A382" s="7"/>
      <c r="B382" s="7"/>
      <c r="C382" s="7"/>
      <c r="D382" s="10"/>
      <c r="E382" s="10"/>
      <c r="F382" s="10"/>
      <c r="G382" s="11"/>
      <c r="H382" s="11"/>
      <c r="I382" s="11"/>
      <c r="J382" s="7"/>
      <c r="K382" s="7"/>
      <c r="L382" s="7"/>
      <c r="M382" s="29"/>
      <c r="N382" s="32"/>
      <c r="O382" s="32"/>
      <c r="P382" s="32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</row>
    <row r="383" spans="1:45" x14ac:dyDescent="0.3">
      <c r="A383" s="7"/>
      <c r="B383" s="7"/>
      <c r="C383" s="7"/>
      <c r="D383" s="10"/>
      <c r="E383" s="10"/>
      <c r="F383" s="10"/>
      <c r="G383" s="11"/>
      <c r="H383" s="11"/>
      <c r="I383" s="11"/>
      <c r="J383" s="7"/>
      <c r="K383" s="7"/>
      <c r="L383" s="7"/>
      <c r="M383" s="29"/>
      <c r="N383" s="32"/>
      <c r="O383" s="32"/>
      <c r="P383" s="32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</row>
    <row r="384" spans="1:45" x14ac:dyDescent="0.3">
      <c r="A384" s="7"/>
      <c r="B384" s="7"/>
      <c r="C384" s="7"/>
      <c r="D384" s="10"/>
      <c r="E384" s="10"/>
      <c r="F384" s="10"/>
      <c r="G384" s="11"/>
      <c r="H384" s="11"/>
      <c r="I384" s="11"/>
      <c r="J384" s="7"/>
      <c r="K384" s="7"/>
      <c r="L384" s="7"/>
      <c r="M384" s="29"/>
      <c r="N384" s="32"/>
      <c r="O384" s="32"/>
      <c r="P384" s="32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</row>
    <row r="385" spans="1:45" x14ac:dyDescent="0.3">
      <c r="A385" s="7"/>
      <c r="B385" s="7"/>
      <c r="C385" s="7"/>
      <c r="D385" s="10"/>
      <c r="E385" s="10"/>
      <c r="F385" s="10"/>
      <c r="G385" s="11"/>
      <c r="H385" s="11"/>
      <c r="I385" s="11"/>
      <c r="J385" s="7"/>
      <c r="K385" s="7"/>
      <c r="L385" s="7"/>
      <c r="M385" s="29"/>
      <c r="N385" s="32"/>
      <c r="O385" s="32"/>
      <c r="P385" s="32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</row>
    <row r="386" spans="1:45" x14ac:dyDescent="0.3">
      <c r="A386" s="7"/>
      <c r="B386" s="7"/>
      <c r="C386" s="7"/>
      <c r="D386" s="10"/>
      <c r="E386" s="10"/>
      <c r="F386" s="10"/>
      <c r="G386" s="11"/>
      <c r="H386" s="11"/>
      <c r="I386" s="11"/>
      <c r="J386" s="7"/>
      <c r="K386" s="7"/>
      <c r="L386" s="7"/>
      <c r="M386" s="29"/>
      <c r="N386" s="32"/>
      <c r="O386" s="32"/>
      <c r="P386" s="32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</row>
    <row r="387" spans="1:45" x14ac:dyDescent="0.3">
      <c r="A387" s="7"/>
      <c r="B387" s="7"/>
      <c r="C387" s="7"/>
      <c r="D387" s="10"/>
      <c r="E387" s="10"/>
      <c r="F387" s="10"/>
      <c r="G387" s="11"/>
      <c r="H387" s="11"/>
      <c r="I387" s="11"/>
      <c r="J387" s="7"/>
      <c r="K387" s="7"/>
      <c r="L387" s="7"/>
      <c r="M387" s="29"/>
      <c r="N387" s="32"/>
      <c r="O387" s="32"/>
      <c r="P387" s="32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</row>
    <row r="388" spans="1:45" x14ac:dyDescent="0.3">
      <c r="A388" s="7"/>
      <c r="B388" s="7"/>
      <c r="C388" s="7"/>
      <c r="D388" s="10"/>
      <c r="E388" s="10"/>
      <c r="F388" s="10"/>
      <c r="G388" s="11"/>
      <c r="H388" s="11"/>
      <c r="I388" s="11"/>
      <c r="J388" s="7"/>
      <c r="K388" s="7"/>
      <c r="L388" s="7"/>
      <c r="M388" s="29"/>
      <c r="N388" s="32"/>
      <c r="O388" s="32"/>
      <c r="P388" s="32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</row>
    <row r="389" spans="1:45" x14ac:dyDescent="0.3">
      <c r="A389" s="7"/>
      <c r="B389" s="7"/>
      <c r="C389" s="7"/>
      <c r="D389" s="10"/>
      <c r="E389" s="10"/>
      <c r="F389" s="10"/>
      <c r="G389" s="11"/>
      <c r="H389" s="11"/>
      <c r="I389" s="11"/>
      <c r="J389" s="7"/>
      <c r="K389" s="7"/>
      <c r="L389" s="7"/>
      <c r="M389" s="29"/>
      <c r="N389" s="32"/>
      <c r="O389" s="32"/>
      <c r="P389" s="32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</row>
    <row r="390" spans="1:45" x14ac:dyDescent="0.3">
      <c r="A390" s="7"/>
      <c r="B390" s="7"/>
      <c r="C390" s="7"/>
      <c r="D390" s="10"/>
      <c r="E390" s="10"/>
      <c r="F390" s="10"/>
      <c r="G390" s="11"/>
      <c r="H390" s="11"/>
      <c r="I390" s="11"/>
      <c r="J390" s="7"/>
      <c r="K390" s="7"/>
      <c r="L390" s="7"/>
      <c r="M390" s="29"/>
      <c r="N390" s="32"/>
      <c r="O390" s="32"/>
      <c r="P390" s="32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</row>
    <row r="391" spans="1:45" x14ac:dyDescent="0.3">
      <c r="A391" s="7"/>
      <c r="B391" s="7"/>
      <c r="C391" s="7"/>
      <c r="D391" s="10"/>
      <c r="E391" s="10"/>
      <c r="F391" s="10"/>
      <c r="G391" s="11"/>
      <c r="H391" s="11"/>
      <c r="I391" s="11"/>
      <c r="J391" s="7"/>
      <c r="K391" s="7"/>
      <c r="L391" s="7"/>
      <c r="M391" s="29"/>
      <c r="N391" s="32"/>
      <c r="O391" s="32"/>
      <c r="P391" s="32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</row>
    <row r="392" spans="1:45" x14ac:dyDescent="0.3">
      <c r="A392" s="7"/>
      <c r="B392" s="7"/>
      <c r="C392" s="7"/>
      <c r="D392" s="10"/>
      <c r="E392" s="10"/>
      <c r="F392" s="10"/>
      <c r="G392" s="11"/>
      <c r="H392" s="11"/>
      <c r="I392" s="11"/>
      <c r="J392" s="7"/>
      <c r="K392" s="7"/>
      <c r="L392" s="7"/>
      <c r="M392" s="29"/>
      <c r="N392" s="32"/>
      <c r="O392" s="32"/>
      <c r="P392" s="32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</row>
    <row r="393" spans="1:45" x14ac:dyDescent="0.3">
      <c r="A393" s="7"/>
      <c r="B393" s="7"/>
      <c r="C393" s="7"/>
      <c r="D393" s="10"/>
      <c r="E393" s="10"/>
      <c r="F393" s="10"/>
      <c r="G393" s="11"/>
      <c r="H393" s="11"/>
      <c r="I393" s="11"/>
      <c r="J393" s="7"/>
      <c r="K393" s="7"/>
      <c r="L393" s="7"/>
      <c r="M393" s="29"/>
      <c r="N393" s="32"/>
      <c r="O393" s="32"/>
      <c r="P393" s="32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</row>
    <row r="394" spans="1:45" x14ac:dyDescent="0.3">
      <c r="A394" s="7"/>
      <c r="B394" s="7"/>
      <c r="C394" s="7"/>
      <c r="D394" s="10"/>
      <c r="E394" s="10"/>
      <c r="F394" s="10"/>
      <c r="G394" s="11"/>
      <c r="H394" s="11"/>
      <c r="I394" s="11"/>
      <c r="J394" s="7"/>
      <c r="K394" s="7"/>
      <c r="L394" s="7"/>
      <c r="M394" s="29"/>
      <c r="N394" s="32"/>
      <c r="O394" s="32"/>
      <c r="P394" s="32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</row>
    <row r="395" spans="1:45" x14ac:dyDescent="0.3">
      <c r="A395" s="7"/>
      <c r="B395" s="7"/>
      <c r="C395" s="7"/>
      <c r="D395" s="10"/>
      <c r="E395" s="10"/>
      <c r="F395" s="10"/>
      <c r="G395" s="11"/>
      <c r="H395" s="11"/>
      <c r="I395" s="11"/>
      <c r="J395" s="7"/>
      <c r="K395" s="7"/>
      <c r="L395" s="7"/>
      <c r="M395" s="29"/>
      <c r="N395" s="32"/>
      <c r="O395" s="32"/>
      <c r="P395" s="32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</row>
    <row r="396" spans="1:45" x14ac:dyDescent="0.3">
      <c r="A396" s="7"/>
      <c r="B396" s="7"/>
      <c r="C396" s="7"/>
      <c r="D396" s="10"/>
      <c r="E396" s="10"/>
      <c r="F396" s="10"/>
      <c r="G396" s="11"/>
      <c r="H396" s="11"/>
      <c r="I396" s="11"/>
      <c r="J396" s="7"/>
      <c r="K396" s="7"/>
      <c r="L396" s="7"/>
      <c r="M396" s="29"/>
      <c r="N396" s="32"/>
      <c r="O396" s="32"/>
      <c r="P396" s="32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</row>
    <row r="397" spans="1:45" x14ac:dyDescent="0.3">
      <c r="A397" s="7"/>
      <c r="B397" s="7"/>
      <c r="C397" s="7"/>
      <c r="D397" s="10"/>
      <c r="E397" s="10"/>
      <c r="F397" s="10"/>
      <c r="G397" s="11"/>
      <c r="H397" s="11"/>
      <c r="I397" s="11"/>
      <c r="J397" s="7"/>
      <c r="K397" s="7"/>
      <c r="L397" s="7"/>
      <c r="M397" s="29"/>
      <c r="N397" s="32"/>
      <c r="O397" s="32"/>
      <c r="P397" s="32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</row>
    <row r="398" spans="1:45" x14ac:dyDescent="0.3">
      <c r="A398" s="7"/>
      <c r="B398" s="7"/>
      <c r="C398" s="7"/>
      <c r="D398" s="10"/>
      <c r="E398" s="10"/>
      <c r="F398" s="10"/>
      <c r="G398" s="11"/>
      <c r="H398" s="11"/>
      <c r="I398" s="11"/>
      <c r="J398" s="7"/>
      <c r="K398" s="7"/>
      <c r="L398" s="7"/>
      <c r="M398" s="29"/>
      <c r="N398" s="32"/>
      <c r="O398" s="32"/>
      <c r="P398" s="32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</row>
    <row r="399" spans="1:45" x14ac:dyDescent="0.3">
      <c r="A399" s="7"/>
      <c r="B399" s="7"/>
      <c r="C399" s="7"/>
      <c r="D399" s="10"/>
      <c r="E399" s="10"/>
      <c r="F399" s="10"/>
      <c r="G399" s="11"/>
      <c r="H399" s="11"/>
      <c r="I399" s="11"/>
      <c r="J399" s="7"/>
      <c r="K399" s="7"/>
      <c r="L399" s="7"/>
      <c r="M399" s="29"/>
      <c r="N399" s="32"/>
      <c r="O399" s="32"/>
      <c r="P399" s="32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</row>
    <row r="400" spans="1:45" x14ac:dyDescent="0.3">
      <c r="A400" s="7"/>
      <c r="B400" s="7"/>
      <c r="C400" s="7"/>
      <c r="D400" s="10"/>
      <c r="E400" s="10"/>
      <c r="F400" s="10"/>
      <c r="G400" s="11"/>
      <c r="H400" s="11"/>
      <c r="I400" s="11"/>
      <c r="J400" s="7"/>
      <c r="K400" s="7"/>
      <c r="L400" s="7"/>
      <c r="M400" s="29"/>
      <c r="N400" s="32"/>
      <c r="O400" s="32"/>
      <c r="P400" s="32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</row>
    <row r="401" spans="1:45" x14ac:dyDescent="0.3">
      <c r="A401" s="7"/>
      <c r="B401" s="7"/>
      <c r="C401" s="7"/>
      <c r="D401" s="10"/>
      <c r="E401" s="10"/>
      <c r="F401" s="10"/>
      <c r="G401" s="11"/>
      <c r="H401" s="11"/>
      <c r="I401" s="11"/>
      <c r="J401" s="7"/>
      <c r="K401" s="7"/>
      <c r="L401" s="7"/>
      <c r="M401" s="29"/>
      <c r="N401" s="32"/>
      <c r="O401" s="32"/>
      <c r="P401" s="32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</row>
    <row r="402" spans="1:45" x14ac:dyDescent="0.3">
      <c r="A402" s="7"/>
      <c r="B402" s="7"/>
      <c r="C402" s="7"/>
      <c r="D402" s="10"/>
      <c r="E402" s="10"/>
      <c r="F402" s="10"/>
      <c r="G402" s="11"/>
      <c r="H402" s="11"/>
      <c r="I402" s="11"/>
      <c r="J402" s="7"/>
      <c r="K402" s="7"/>
      <c r="L402" s="7"/>
      <c r="M402" s="29"/>
      <c r="N402" s="32"/>
      <c r="O402" s="32"/>
      <c r="P402" s="32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</row>
    <row r="403" spans="1:45" x14ac:dyDescent="0.3">
      <c r="A403" s="7"/>
      <c r="B403" s="7"/>
      <c r="C403" s="7"/>
      <c r="D403" s="10"/>
      <c r="E403" s="10"/>
      <c r="F403" s="10"/>
      <c r="G403" s="11"/>
      <c r="H403" s="11"/>
      <c r="I403" s="11"/>
      <c r="J403" s="7"/>
      <c r="K403" s="7"/>
      <c r="L403" s="7"/>
      <c r="M403" s="29"/>
      <c r="N403" s="32"/>
      <c r="O403" s="32"/>
      <c r="P403" s="32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</row>
    <row r="404" spans="1:45" x14ac:dyDescent="0.3">
      <c r="A404" s="7"/>
      <c r="B404" s="7"/>
      <c r="C404" s="7"/>
      <c r="D404" s="10"/>
      <c r="E404" s="10"/>
      <c r="F404" s="10"/>
      <c r="G404" s="11"/>
      <c r="H404" s="11"/>
      <c r="I404" s="11"/>
      <c r="J404" s="7"/>
      <c r="K404" s="7"/>
      <c r="L404" s="7"/>
      <c r="M404" s="29"/>
      <c r="N404" s="32"/>
      <c r="O404" s="32"/>
      <c r="P404" s="32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</row>
    <row r="405" spans="1:45" x14ac:dyDescent="0.3">
      <c r="A405" s="7"/>
      <c r="B405" s="7"/>
      <c r="C405" s="7"/>
      <c r="D405" s="10"/>
      <c r="E405" s="10"/>
      <c r="F405" s="10"/>
      <c r="G405" s="11"/>
      <c r="H405" s="11"/>
      <c r="I405" s="11"/>
      <c r="J405" s="7"/>
      <c r="K405" s="7"/>
      <c r="L405" s="7"/>
      <c r="M405" s="29"/>
      <c r="N405" s="32"/>
      <c r="O405" s="32"/>
      <c r="P405" s="32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</row>
    <row r="406" spans="1:45" x14ac:dyDescent="0.3">
      <c r="A406" s="7"/>
      <c r="B406" s="7"/>
      <c r="C406" s="7"/>
      <c r="D406" s="10"/>
      <c r="E406" s="10"/>
      <c r="F406" s="10"/>
      <c r="G406" s="11"/>
      <c r="H406" s="11"/>
      <c r="I406" s="11"/>
      <c r="J406" s="7"/>
      <c r="K406" s="7"/>
      <c r="L406" s="7"/>
      <c r="M406" s="29"/>
      <c r="N406" s="32"/>
      <c r="O406" s="32"/>
      <c r="P406" s="32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</row>
    <row r="407" spans="1:45" x14ac:dyDescent="0.3">
      <c r="A407" s="7"/>
      <c r="B407" s="7"/>
      <c r="C407" s="7"/>
      <c r="D407" s="10"/>
      <c r="E407" s="10"/>
      <c r="F407" s="10"/>
      <c r="G407" s="11"/>
      <c r="H407" s="11"/>
      <c r="I407" s="11"/>
      <c r="J407" s="7"/>
      <c r="K407" s="7"/>
      <c r="L407" s="7"/>
      <c r="M407" s="29"/>
      <c r="N407" s="32"/>
      <c r="O407" s="32"/>
      <c r="P407" s="32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</row>
    <row r="408" spans="1:45" x14ac:dyDescent="0.3">
      <c r="A408" s="7"/>
      <c r="B408" s="7"/>
      <c r="C408" s="7"/>
      <c r="D408" s="10"/>
      <c r="E408" s="10"/>
      <c r="F408" s="10"/>
      <c r="G408" s="11"/>
      <c r="H408" s="11"/>
      <c r="I408" s="11"/>
      <c r="J408" s="7"/>
      <c r="K408" s="7"/>
      <c r="L408" s="7"/>
      <c r="M408" s="29"/>
      <c r="N408" s="32"/>
      <c r="O408" s="32"/>
      <c r="P408" s="32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</row>
    <row r="409" spans="1:45" x14ac:dyDescent="0.3">
      <c r="A409" s="7"/>
      <c r="B409" s="7"/>
      <c r="C409" s="7"/>
      <c r="D409" s="10"/>
      <c r="E409" s="10"/>
      <c r="F409" s="10"/>
      <c r="G409" s="11"/>
      <c r="H409" s="11"/>
      <c r="I409" s="11"/>
      <c r="J409" s="7"/>
      <c r="K409" s="7"/>
      <c r="L409" s="7"/>
      <c r="M409" s="29"/>
      <c r="N409" s="32"/>
      <c r="O409" s="32"/>
      <c r="P409" s="32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</row>
    <row r="410" spans="1:45" x14ac:dyDescent="0.3">
      <c r="A410" s="7"/>
      <c r="B410" s="7"/>
      <c r="C410" s="7"/>
      <c r="D410" s="10"/>
      <c r="E410" s="10"/>
      <c r="F410" s="10"/>
      <c r="G410" s="11"/>
      <c r="H410" s="11"/>
      <c r="I410" s="11"/>
      <c r="J410" s="7"/>
      <c r="K410" s="7"/>
      <c r="L410" s="7"/>
      <c r="M410" s="29"/>
      <c r="N410" s="32"/>
      <c r="O410" s="32"/>
      <c r="P410" s="32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</row>
    <row r="411" spans="1:45" x14ac:dyDescent="0.3">
      <c r="A411" s="7"/>
      <c r="B411" s="7"/>
      <c r="C411" s="7"/>
      <c r="D411" s="10"/>
      <c r="E411" s="10"/>
      <c r="F411" s="10"/>
      <c r="G411" s="11"/>
      <c r="H411" s="11"/>
      <c r="I411" s="11"/>
      <c r="J411" s="7"/>
      <c r="K411" s="7"/>
      <c r="L411" s="7"/>
      <c r="M411" s="29"/>
      <c r="N411" s="32"/>
      <c r="O411" s="32"/>
      <c r="P411" s="32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</row>
    <row r="412" spans="1:45" x14ac:dyDescent="0.3">
      <c r="A412" s="7"/>
      <c r="B412" s="7"/>
      <c r="C412" s="7"/>
      <c r="D412" s="10"/>
      <c r="E412" s="10"/>
      <c r="F412" s="10"/>
      <c r="G412" s="11"/>
      <c r="H412" s="11"/>
      <c r="I412" s="11"/>
      <c r="J412" s="7"/>
      <c r="K412" s="7"/>
      <c r="L412" s="7"/>
      <c r="M412" s="29"/>
      <c r="N412" s="32"/>
      <c r="O412" s="32"/>
      <c r="P412" s="32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</row>
    <row r="413" spans="1:45" x14ac:dyDescent="0.3">
      <c r="A413" s="7"/>
      <c r="B413" s="7"/>
      <c r="C413" s="7"/>
      <c r="D413" s="10"/>
      <c r="E413" s="10"/>
      <c r="F413" s="10"/>
      <c r="G413" s="11"/>
      <c r="H413" s="11"/>
      <c r="I413" s="11"/>
      <c r="J413" s="7"/>
      <c r="K413" s="7"/>
      <c r="L413" s="7"/>
      <c r="M413" s="29"/>
      <c r="N413" s="32"/>
      <c r="O413" s="32"/>
      <c r="P413" s="32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</row>
    <row r="414" spans="1:45" x14ac:dyDescent="0.3">
      <c r="A414" s="7"/>
      <c r="B414" s="7"/>
      <c r="C414" s="7"/>
      <c r="D414" s="10"/>
      <c r="E414" s="10"/>
      <c r="F414" s="10"/>
      <c r="G414" s="11"/>
      <c r="H414" s="11"/>
      <c r="I414" s="11"/>
      <c r="J414" s="7"/>
      <c r="K414" s="7"/>
      <c r="L414" s="7"/>
      <c r="M414" s="29"/>
      <c r="N414" s="32"/>
      <c r="O414" s="32"/>
      <c r="P414" s="32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</row>
    <row r="415" spans="1:45" x14ac:dyDescent="0.3">
      <c r="A415" s="7"/>
      <c r="B415" s="7"/>
      <c r="C415" s="7"/>
      <c r="D415" s="10"/>
      <c r="E415" s="10"/>
      <c r="F415" s="10"/>
      <c r="G415" s="11"/>
      <c r="H415" s="11"/>
      <c r="I415" s="11"/>
      <c r="J415" s="7"/>
      <c r="K415" s="7"/>
      <c r="L415" s="7"/>
      <c r="M415" s="29"/>
      <c r="N415" s="32"/>
      <c r="O415" s="32"/>
      <c r="P415" s="32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</row>
    <row r="416" spans="1:45" x14ac:dyDescent="0.3">
      <c r="A416" s="7"/>
      <c r="B416" s="7"/>
      <c r="C416" s="7"/>
      <c r="D416" s="10"/>
      <c r="E416" s="10"/>
      <c r="F416" s="10"/>
      <c r="G416" s="11"/>
      <c r="H416" s="11"/>
      <c r="I416" s="11"/>
      <c r="J416" s="7"/>
      <c r="K416" s="7"/>
      <c r="L416" s="7"/>
      <c r="M416" s="29"/>
      <c r="N416" s="32"/>
      <c r="O416" s="32"/>
      <c r="P416" s="32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</row>
    <row r="417" spans="1:45" x14ac:dyDescent="0.3">
      <c r="A417" s="7"/>
      <c r="B417" s="7"/>
      <c r="C417" s="7"/>
      <c r="D417" s="10"/>
      <c r="E417" s="10"/>
      <c r="F417" s="10"/>
      <c r="G417" s="11"/>
      <c r="H417" s="11"/>
      <c r="I417" s="11"/>
      <c r="J417" s="7"/>
      <c r="K417" s="7"/>
      <c r="L417" s="7"/>
      <c r="M417" s="29"/>
      <c r="N417" s="32"/>
      <c r="O417" s="32"/>
      <c r="P417" s="32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</row>
    <row r="418" spans="1:45" x14ac:dyDescent="0.3">
      <c r="A418" s="7"/>
      <c r="B418" s="7"/>
      <c r="C418" s="7"/>
      <c r="D418" s="10"/>
      <c r="E418" s="10"/>
      <c r="F418" s="10"/>
      <c r="G418" s="11"/>
      <c r="H418" s="11"/>
      <c r="I418" s="11"/>
      <c r="J418" s="7"/>
      <c r="K418" s="7"/>
      <c r="L418" s="7"/>
      <c r="M418" s="29"/>
      <c r="N418" s="32"/>
      <c r="O418" s="32"/>
      <c r="P418" s="32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</row>
    <row r="419" spans="1:45" x14ac:dyDescent="0.3">
      <c r="A419" s="7"/>
      <c r="B419" s="7"/>
      <c r="C419" s="7"/>
      <c r="D419" s="10"/>
      <c r="E419" s="10"/>
      <c r="F419" s="10"/>
      <c r="G419" s="11"/>
      <c r="H419" s="11"/>
      <c r="I419" s="11"/>
      <c r="J419" s="7"/>
      <c r="K419" s="7"/>
      <c r="L419" s="7"/>
      <c r="M419" s="29"/>
      <c r="N419" s="32"/>
      <c r="O419" s="32"/>
      <c r="P419" s="32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</row>
    <row r="420" spans="1:45" x14ac:dyDescent="0.3">
      <c r="A420" s="7"/>
      <c r="B420" s="7"/>
      <c r="C420" s="7"/>
      <c r="D420" s="10"/>
      <c r="E420" s="10"/>
      <c r="F420" s="10"/>
      <c r="G420" s="11"/>
      <c r="H420" s="11"/>
      <c r="I420" s="11"/>
      <c r="J420" s="7"/>
      <c r="K420" s="7"/>
      <c r="L420" s="7"/>
      <c r="M420" s="29"/>
      <c r="N420" s="32"/>
      <c r="O420" s="32"/>
      <c r="P420" s="32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</row>
    <row r="421" spans="1:45" x14ac:dyDescent="0.3">
      <c r="A421" s="7"/>
      <c r="B421" s="7"/>
      <c r="C421" s="7"/>
      <c r="D421" s="10"/>
      <c r="E421" s="10"/>
      <c r="F421" s="10"/>
      <c r="G421" s="11"/>
      <c r="H421" s="11"/>
      <c r="I421" s="11"/>
      <c r="J421" s="7"/>
      <c r="K421" s="7"/>
      <c r="L421" s="7"/>
      <c r="M421" s="29"/>
      <c r="N421" s="32"/>
      <c r="O421" s="32"/>
      <c r="P421" s="32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</row>
    <row r="422" spans="1:45" x14ac:dyDescent="0.3">
      <c r="A422" s="7"/>
      <c r="B422" s="7"/>
      <c r="C422" s="7"/>
      <c r="D422" s="10"/>
      <c r="E422" s="10"/>
      <c r="F422" s="10"/>
      <c r="G422" s="11"/>
      <c r="H422" s="11"/>
      <c r="I422" s="11"/>
      <c r="J422" s="7"/>
      <c r="K422" s="7"/>
      <c r="L422" s="7"/>
      <c r="M422" s="29"/>
      <c r="N422" s="32"/>
      <c r="O422" s="32"/>
      <c r="P422" s="32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</row>
    <row r="423" spans="1:45" x14ac:dyDescent="0.3">
      <c r="A423" s="7"/>
      <c r="B423" s="7"/>
      <c r="C423" s="7"/>
      <c r="D423" s="10"/>
      <c r="E423" s="10"/>
      <c r="F423" s="10"/>
      <c r="G423" s="11"/>
      <c r="H423" s="11"/>
      <c r="I423" s="11"/>
      <c r="J423" s="7"/>
      <c r="K423" s="7"/>
      <c r="L423" s="7"/>
      <c r="M423" s="29"/>
      <c r="N423" s="32"/>
      <c r="O423" s="32"/>
      <c r="P423" s="32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</row>
    <row r="424" spans="1:45" x14ac:dyDescent="0.3">
      <c r="A424" s="7"/>
      <c r="B424" s="7"/>
      <c r="C424" s="7"/>
      <c r="D424" s="10"/>
      <c r="E424" s="10"/>
      <c r="F424" s="10"/>
      <c r="G424" s="11"/>
      <c r="H424" s="11"/>
      <c r="I424" s="11"/>
      <c r="J424" s="7"/>
      <c r="K424" s="7"/>
      <c r="L424" s="7"/>
      <c r="M424" s="29"/>
      <c r="N424" s="32"/>
      <c r="O424" s="32"/>
      <c r="P424" s="32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</row>
    <row r="425" spans="1:45" x14ac:dyDescent="0.3">
      <c r="A425" s="7"/>
      <c r="B425" s="7"/>
      <c r="C425" s="7"/>
      <c r="D425" s="10"/>
      <c r="E425" s="10"/>
      <c r="F425" s="10"/>
      <c r="G425" s="11"/>
      <c r="H425" s="11"/>
      <c r="I425" s="11"/>
      <c r="J425" s="7"/>
      <c r="K425" s="7"/>
      <c r="L425" s="7"/>
      <c r="M425" s="29"/>
      <c r="N425" s="32"/>
      <c r="O425" s="32"/>
      <c r="P425" s="32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</row>
    <row r="426" spans="1:45" x14ac:dyDescent="0.3">
      <c r="A426" s="7"/>
      <c r="B426" s="7"/>
      <c r="C426" s="7"/>
      <c r="D426" s="10"/>
      <c r="E426" s="10"/>
      <c r="F426" s="10"/>
      <c r="G426" s="11"/>
      <c r="H426" s="11"/>
      <c r="I426" s="11"/>
      <c r="J426" s="7"/>
      <c r="K426" s="7"/>
      <c r="L426" s="7"/>
      <c r="M426" s="29"/>
      <c r="N426" s="32"/>
      <c r="O426" s="32"/>
      <c r="P426" s="32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</row>
    <row r="427" spans="1:45" x14ac:dyDescent="0.3">
      <c r="A427" s="7"/>
      <c r="B427" s="7"/>
      <c r="C427" s="7"/>
      <c r="D427" s="10"/>
      <c r="E427" s="10"/>
      <c r="F427" s="10"/>
      <c r="G427" s="11"/>
      <c r="H427" s="11"/>
      <c r="I427" s="11"/>
      <c r="J427" s="7"/>
      <c r="K427" s="7"/>
      <c r="L427" s="7"/>
      <c r="M427" s="29"/>
      <c r="N427" s="32"/>
      <c r="O427" s="32"/>
      <c r="P427" s="32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</row>
    <row r="428" spans="1:45" x14ac:dyDescent="0.3">
      <c r="A428" s="7"/>
      <c r="B428" s="7"/>
      <c r="C428" s="7"/>
      <c r="D428" s="10"/>
      <c r="E428" s="10"/>
      <c r="F428" s="10"/>
      <c r="G428" s="11"/>
      <c r="H428" s="11"/>
      <c r="I428" s="11"/>
      <c r="J428" s="7"/>
      <c r="K428" s="7"/>
      <c r="L428" s="7"/>
      <c r="M428" s="29"/>
      <c r="N428" s="32"/>
      <c r="O428" s="32"/>
      <c r="P428" s="32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</row>
    <row r="429" spans="1:45" x14ac:dyDescent="0.3">
      <c r="A429" s="7"/>
      <c r="B429" s="7"/>
      <c r="C429" s="7"/>
      <c r="D429" s="10"/>
      <c r="E429" s="10"/>
      <c r="F429" s="10"/>
      <c r="G429" s="11"/>
      <c r="H429" s="11"/>
      <c r="I429" s="11"/>
      <c r="J429" s="7"/>
      <c r="K429" s="7"/>
      <c r="L429" s="7"/>
      <c r="M429" s="29"/>
      <c r="N429" s="32"/>
      <c r="O429" s="32"/>
      <c r="P429" s="32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</row>
    <row r="430" spans="1:45" x14ac:dyDescent="0.3">
      <c r="A430" s="7"/>
      <c r="B430" s="7"/>
      <c r="C430" s="7"/>
      <c r="D430" s="10"/>
      <c r="E430" s="10"/>
      <c r="F430" s="10"/>
      <c r="G430" s="11"/>
      <c r="H430" s="11"/>
      <c r="I430" s="11"/>
      <c r="J430" s="7"/>
      <c r="K430" s="7"/>
      <c r="L430" s="7"/>
      <c r="M430" s="29"/>
      <c r="N430" s="32"/>
      <c r="O430" s="32"/>
      <c r="P430" s="32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</row>
    <row r="431" spans="1:45" x14ac:dyDescent="0.3">
      <c r="A431" s="7"/>
      <c r="B431" s="7"/>
      <c r="C431" s="7"/>
      <c r="D431" s="10"/>
      <c r="E431" s="10"/>
      <c r="F431" s="10"/>
      <c r="G431" s="11"/>
      <c r="H431" s="11"/>
      <c r="I431" s="11"/>
      <c r="J431" s="7"/>
      <c r="K431" s="7"/>
      <c r="L431" s="7"/>
      <c r="M431" s="29"/>
      <c r="N431" s="32"/>
      <c r="O431" s="32"/>
      <c r="P431" s="32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</row>
    <row r="432" spans="1:45" x14ac:dyDescent="0.3">
      <c r="A432" s="7"/>
      <c r="B432" s="7"/>
      <c r="C432" s="7"/>
      <c r="D432" s="10"/>
      <c r="E432" s="10"/>
      <c r="F432" s="10"/>
      <c r="G432" s="11"/>
      <c r="H432" s="11"/>
      <c r="I432" s="11"/>
      <c r="J432" s="7"/>
      <c r="K432" s="7"/>
      <c r="L432" s="7"/>
      <c r="M432" s="29"/>
      <c r="N432" s="32"/>
      <c r="O432" s="32"/>
      <c r="P432" s="32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</row>
    <row r="433" spans="1:45" x14ac:dyDescent="0.3">
      <c r="A433" s="7"/>
      <c r="B433" s="7"/>
      <c r="C433" s="7"/>
      <c r="D433" s="10"/>
      <c r="E433" s="10"/>
      <c r="F433" s="10"/>
      <c r="G433" s="11"/>
      <c r="H433" s="11"/>
      <c r="I433" s="11"/>
      <c r="J433" s="7"/>
      <c r="K433" s="7"/>
      <c r="L433" s="7"/>
      <c r="M433" s="29"/>
      <c r="N433" s="32"/>
      <c r="O433" s="32"/>
      <c r="P433" s="32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</row>
    <row r="434" spans="1:45" x14ac:dyDescent="0.3">
      <c r="A434" s="7"/>
      <c r="B434" s="7"/>
      <c r="C434" s="7"/>
      <c r="D434" s="10"/>
      <c r="E434" s="10"/>
      <c r="F434" s="10"/>
      <c r="G434" s="11"/>
      <c r="H434" s="11"/>
      <c r="I434" s="11"/>
      <c r="J434" s="7"/>
      <c r="K434" s="7"/>
      <c r="L434" s="7"/>
      <c r="M434" s="29"/>
      <c r="N434" s="32"/>
      <c r="O434" s="32"/>
      <c r="P434" s="32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</row>
    <row r="435" spans="1:45" x14ac:dyDescent="0.3">
      <c r="A435" s="7"/>
      <c r="B435" s="7"/>
      <c r="C435" s="7"/>
      <c r="D435" s="10"/>
      <c r="E435" s="10"/>
      <c r="F435" s="10"/>
      <c r="G435" s="11"/>
      <c r="H435" s="11"/>
      <c r="I435" s="11"/>
      <c r="J435" s="7"/>
      <c r="K435" s="7"/>
      <c r="L435" s="7"/>
      <c r="M435" s="29"/>
      <c r="N435" s="32"/>
      <c r="O435" s="32"/>
      <c r="P435" s="32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</row>
    <row r="436" spans="1:45" x14ac:dyDescent="0.3">
      <c r="A436" s="7"/>
      <c r="B436" s="7"/>
      <c r="C436" s="7"/>
      <c r="D436" s="10"/>
      <c r="E436" s="10"/>
      <c r="F436" s="10"/>
      <c r="G436" s="11"/>
      <c r="H436" s="11"/>
      <c r="I436" s="11"/>
      <c r="J436" s="7"/>
      <c r="K436" s="7"/>
      <c r="L436" s="7"/>
      <c r="M436" s="29"/>
      <c r="N436" s="32"/>
      <c r="O436" s="32"/>
      <c r="P436" s="32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</row>
    <row r="437" spans="1:45" x14ac:dyDescent="0.3">
      <c r="A437" s="7"/>
      <c r="B437" s="7"/>
      <c r="C437" s="7"/>
      <c r="D437" s="10"/>
      <c r="E437" s="10"/>
      <c r="F437" s="10"/>
      <c r="G437" s="11"/>
      <c r="H437" s="11"/>
      <c r="I437" s="11"/>
      <c r="J437" s="7"/>
      <c r="K437" s="7"/>
      <c r="L437" s="7"/>
      <c r="M437" s="29"/>
      <c r="N437" s="32"/>
      <c r="O437" s="32"/>
      <c r="P437" s="32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</row>
    <row r="438" spans="1:45" x14ac:dyDescent="0.3">
      <c r="A438" s="7"/>
      <c r="B438" s="7"/>
      <c r="C438" s="7"/>
      <c r="D438" s="10"/>
      <c r="E438" s="10"/>
      <c r="F438" s="10"/>
      <c r="G438" s="11"/>
      <c r="H438" s="11"/>
      <c r="I438" s="11"/>
      <c r="J438" s="7"/>
      <c r="K438" s="7"/>
      <c r="L438" s="7"/>
      <c r="M438" s="29"/>
      <c r="N438" s="32"/>
      <c r="O438" s="32"/>
      <c r="P438" s="32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</row>
    <row r="439" spans="1:45" x14ac:dyDescent="0.3">
      <c r="A439" s="7"/>
      <c r="B439" s="7"/>
      <c r="C439" s="7"/>
      <c r="D439" s="10"/>
      <c r="E439" s="10"/>
      <c r="F439" s="10"/>
      <c r="G439" s="11"/>
      <c r="H439" s="11"/>
      <c r="I439" s="11"/>
      <c r="J439" s="7"/>
      <c r="K439" s="7"/>
      <c r="L439" s="7"/>
      <c r="M439" s="29"/>
      <c r="N439" s="32"/>
      <c r="O439" s="32"/>
      <c r="P439" s="32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</row>
    <row r="440" spans="1:45" x14ac:dyDescent="0.3">
      <c r="A440" s="7"/>
      <c r="B440" s="7"/>
      <c r="C440" s="7"/>
      <c r="D440" s="10"/>
      <c r="E440" s="10"/>
      <c r="F440" s="10"/>
      <c r="G440" s="11"/>
      <c r="H440" s="11"/>
      <c r="I440" s="11"/>
      <c r="J440" s="7"/>
      <c r="K440" s="7"/>
      <c r="L440" s="7"/>
      <c r="M440" s="29"/>
      <c r="N440" s="32"/>
      <c r="O440" s="32"/>
      <c r="P440" s="32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</row>
    <row r="441" spans="1:45" x14ac:dyDescent="0.3">
      <c r="A441" s="7"/>
      <c r="B441" s="7"/>
      <c r="C441" s="7"/>
      <c r="D441" s="10"/>
      <c r="E441" s="10"/>
      <c r="F441" s="10"/>
      <c r="G441" s="11"/>
      <c r="H441" s="11"/>
      <c r="I441" s="11"/>
      <c r="J441" s="7"/>
      <c r="K441" s="7"/>
      <c r="L441" s="7"/>
      <c r="M441" s="29"/>
      <c r="N441" s="32"/>
      <c r="O441" s="32"/>
      <c r="P441" s="32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</row>
    <row r="442" spans="1:45" x14ac:dyDescent="0.3">
      <c r="A442" s="7"/>
      <c r="B442" s="7"/>
      <c r="C442" s="7"/>
      <c r="D442" s="10"/>
      <c r="E442" s="10"/>
      <c r="F442" s="10"/>
      <c r="G442" s="11"/>
      <c r="H442" s="11"/>
      <c r="I442" s="11"/>
      <c r="J442" s="7"/>
      <c r="K442" s="7"/>
      <c r="L442" s="7"/>
      <c r="M442" s="29"/>
      <c r="N442" s="32"/>
      <c r="O442" s="32"/>
      <c r="P442" s="32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</row>
    <row r="443" spans="1:45" x14ac:dyDescent="0.3">
      <c r="A443" s="7"/>
      <c r="B443" s="7"/>
      <c r="C443" s="7"/>
      <c r="D443" s="10"/>
      <c r="E443" s="10"/>
      <c r="F443" s="10"/>
      <c r="G443" s="11"/>
      <c r="H443" s="11"/>
      <c r="I443" s="11"/>
      <c r="J443" s="7"/>
      <c r="K443" s="7"/>
      <c r="L443" s="7"/>
      <c r="M443" s="29"/>
      <c r="N443" s="32"/>
      <c r="O443" s="32"/>
      <c r="P443" s="32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</row>
    <row r="444" spans="1:45" x14ac:dyDescent="0.3">
      <c r="A444" s="7"/>
      <c r="B444" s="7"/>
      <c r="C444" s="7"/>
      <c r="D444" s="10"/>
      <c r="E444" s="10"/>
      <c r="F444" s="10"/>
      <c r="G444" s="11"/>
      <c r="H444" s="11"/>
      <c r="I444" s="11"/>
      <c r="J444" s="7"/>
      <c r="K444" s="7"/>
      <c r="L444" s="7"/>
      <c r="M444" s="29"/>
      <c r="N444" s="32"/>
      <c r="O444" s="32"/>
      <c r="P444" s="32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</row>
    <row r="445" spans="1:45" x14ac:dyDescent="0.3">
      <c r="A445" s="7"/>
      <c r="B445" s="7"/>
      <c r="C445" s="7"/>
      <c r="D445" s="10"/>
      <c r="E445" s="10"/>
      <c r="F445" s="10"/>
      <c r="G445" s="11"/>
      <c r="H445" s="11"/>
      <c r="I445" s="11"/>
      <c r="J445" s="7"/>
      <c r="K445" s="7"/>
      <c r="L445" s="7"/>
      <c r="M445" s="29"/>
      <c r="N445" s="32"/>
      <c r="O445" s="32"/>
      <c r="P445" s="32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</row>
    <row r="446" spans="1:45" x14ac:dyDescent="0.3">
      <c r="A446" s="7"/>
      <c r="B446" s="7"/>
      <c r="C446" s="7"/>
      <c r="D446" s="10"/>
      <c r="E446" s="10"/>
      <c r="F446" s="10"/>
      <c r="G446" s="11"/>
      <c r="H446" s="11"/>
      <c r="I446" s="11"/>
      <c r="J446" s="7"/>
      <c r="K446" s="7"/>
      <c r="L446" s="7"/>
      <c r="M446" s="29"/>
      <c r="N446" s="32"/>
      <c r="O446" s="32"/>
      <c r="P446" s="32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</row>
    <row r="447" spans="1:45" x14ac:dyDescent="0.3">
      <c r="A447" s="7"/>
      <c r="B447" s="7"/>
      <c r="C447" s="7"/>
      <c r="D447" s="10"/>
      <c r="E447" s="10"/>
      <c r="F447" s="10"/>
      <c r="G447" s="11"/>
      <c r="H447" s="11"/>
      <c r="I447" s="11"/>
      <c r="J447" s="7"/>
      <c r="K447" s="7"/>
      <c r="L447" s="7"/>
      <c r="M447" s="29"/>
      <c r="N447" s="32"/>
      <c r="O447" s="32"/>
      <c r="P447" s="32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</row>
    <row r="448" spans="1:45" x14ac:dyDescent="0.3">
      <c r="A448" s="7"/>
      <c r="B448" s="7"/>
      <c r="C448" s="7"/>
      <c r="D448" s="10"/>
      <c r="E448" s="10"/>
      <c r="F448" s="10"/>
      <c r="G448" s="11"/>
      <c r="H448" s="11"/>
      <c r="I448" s="11"/>
      <c r="J448" s="7"/>
      <c r="K448" s="7"/>
      <c r="L448" s="7"/>
      <c r="M448" s="29"/>
      <c r="N448" s="32"/>
      <c r="O448" s="32"/>
      <c r="P448" s="32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</row>
    <row r="449" spans="1:45" x14ac:dyDescent="0.3">
      <c r="A449" s="7"/>
      <c r="B449" s="7"/>
      <c r="C449" s="7"/>
      <c r="D449" s="10"/>
      <c r="E449" s="10"/>
      <c r="F449" s="10"/>
      <c r="G449" s="11"/>
      <c r="H449" s="11"/>
      <c r="I449" s="11"/>
      <c r="J449" s="7"/>
      <c r="K449" s="7"/>
      <c r="L449" s="7"/>
      <c r="M449" s="29"/>
      <c r="N449" s="32"/>
      <c r="O449" s="32"/>
      <c r="P449" s="32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</row>
    <row r="450" spans="1:45" x14ac:dyDescent="0.3">
      <c r="A450" s="7"/>
      <c r="B450" s="7"/>
      <c r="C450" s="7"/>
      <c r="D450" s="10"/>
      <c r="E450" s="10"/>
      <c r="F450" s="10"/>
      <c r="G450" s="11"/>
      <c r="H450" s="11"/>
      <c r="I450" s="11"/>
      <c r="J450" s="7"/>
      <c r="K450" s="7"/>
      <c r="L450" s="7"/>
      <c r="M450" s="29"/>
      <c r="N450" s="32"/>
      <c r="O450" s="32"/>
      <c r="P450" s="32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</row>
    <row r="451" spans="1:45" x14ac:dyDescent="0.3">
      <c r="A451" s="7"/>
      <c r="B451" s="7"/>
      <c r="C451" s="7"/>
      <c r="D451" s="10"/>
      <c r="E451" s="10"/>
      <c r="F451" s="10"/>
      <c r="G451" s="11"/>
      <c r="H451" s="11"/>
      <c r="I451" s="11"/>
      <c r="J451" s="7"/>
      <c r="K451" s="7"/>
      <c r="L451" s="7"/>
      <c r="M451" s="29"/>
      <c r="N451" s="32"/>
      <c r="O451" s="32"/>
      <c r="P451" s="32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</row>
    <row r="452" spans="1:45" x14ac:dyDescent="0.3">
      <c r="A452" s="7"/>
      <c r="B452" s="7"/>
      <c r="C452" s="7"/>
      <c r="D452" s="10"/>
      <c r="E452" s="10"/>
      <c r="F452" s="10"/>
      <c r="G452" s="11"/>
      <c r="H452" s="11"/>
      <c r="I452" s="11"/>
      <c r="J452" s="7"/>
      <c r="K452" s="7"/>
      <c r="L452" s="7"/>
      <c r="M452" s="29"/>
      <c r="N452" s="32"/>
      <c r="O452" s="32"/>
      <c r="P452" s="32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</row>
    <row r="453" spans="1:45" x14ac:dyDescent="0.3">
      <c r="A453" s="7"/>
      <c r="B453" s="7"/>
      <c r="C453" s="7"/>
      <c r="D453" s="10"/>
      <c r="E453" s="10"/>
      <c r="F453" s="10"/>
      <c r="G453" s="11"/>
      <c r="H453" s="11"/>
      <c r="I453" s="11"/>
      <c r="J453" s="7"/>
      <c r="K453" s="7"/>
      <c r="L453" s="7"/>
      <c r="M453" s="29"/>
      <c r="N453" s="32"/>
      <c r="O453" s="32"/>
      <c r="P453" s="32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</row>
    <row r="454" spans="1:45" x14ac:dyDescent="0.3">
      <c r="A454" s="7"/>
      <c r="B454" s="7"/>
      <c r="C454" s="7"/>
      <c r="D454" s="10"/>
      <c r="E454" s="10"/>
      <c r="F454" s="10"/>
      <c r="G454" s="11"/>
      <c r="H454" s="11"/>
      <c r="I454" s="11"/>
      <c r="J454" s="7"/>
      <c r="K454" s="7"/>
      <c r="L454" s="7"/>
      <c r="M454" s="29"/>
      <c r="N454" s="32"/>
      <c r="O454" s="32"/>
      <c r="P454" s="32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</row>
    <row r="455" spans="1:45" x14ac:dyDescent="0.3">
      <c r="A455" s="7"/>
      <c r="B455" s="7"/>
      <c r="C455" s="7"/>
      <c r="D455" s="10"/>
      <c r="E455" s="10"/>
      <c r="F455" s="10"/>
      <c r="G455" s="11"/>
      <c r="H455" s="11"/>
      <c r="I455" s="11"/>
      <c r="J455" s="7"/>
      <c r="K455" s="7"/>
      <c r="L455" s="7"/>
      <c r="M455" s="29"/>
      <c r="N455" s="32"/>
      <c r="O455" s="32"/>
      <c r="P455" s="32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</row>
    <row r="456" spans="1:45" x14ac:dyDescent="0.3">
      <c r="A456" s="7"/>
      <c r="B456" s="7"/>
      <c r="C456" s="7"/>
      <c r="D456" s="10"/>
      <c r="E456" s="10"/>
      <c r="F456" s="10"/>
      <c r="G456" s="11"/>
      <c r="H456" s="11"/>
      <c r="I456" s="11"/>
      <c r="J456" s="7"/>
      <c r="K456" s="7"/>
      <c r="L456" s="7"/>
      <c r="M456" s="29"/>
      <c r="N456" s="32"/>
      <c r="O456" s="32"/>
      <c r="P456" s="32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</row>
    <row r="457" spans="1:45" x14ac:dyDescent="0.3">
      <c r="A457" s="7"/>
      <c r="B457" s="7"/>
      <c r="C457" s="7"/>
      <c r="D457" s="10"/>
      <c r="E457" s="10"/>
      <c r="F457" s="10"/>
      <c r="G457" s="11"/>
      <c r="H457" s="11"/>
      <c r="I457" s="11"/>
      <c r="J457" s="7"/>
      <c r="K457" s="7"/>
      <c r="L457" s="7"/>
      <c r="M457" s="29"/>
      <c r="N457" s="32"/>
      <c r="O457" s="32"/>
      <c r="P457" s="32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</row>
    <row r="458" spans="1:45" x14ac:dyDescent="0.3">
      <c r="A458" s="7"/>
      <c r="B458" s="7"/>
      <c r="C458" s="7"/>
      <c r="D458" s="10"/>
      <c r="E458" s="10"/>
      <c r="F458" s="10"/>
      <c r="G458" s="11"/>
      <c r="H458" s="11"/>
      <c r="I458" s="11"/>
      <c r="J458" s="7"/>
      <c r="K458" s="7"/>
      <c r="L458" s="7"/>
      <c r="M458" s="29"/>
      <c r="N458" s="32"/>
      <c r="O458" s="32"/>
      <c r="P458" s="32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</row>
    <row r="459" spans="1:45" x14ac:dyDescent="0.3">
      <c r="A459" s="7"/>
      <c r="B459" s="7"/>
      <c r="C459" s="7"/>
      <c r="D459" s="10"/>
      <c r="E459" s="10"/>
      <c r="F459" s="10"/>
      <c r="G459" s="11"/>
      <c r="H459" s="11"/>
      <c r="I459" s="11"/>
      <c r="J459" s="7"/>
      <c r="K459" s="7"/>
      <c r="L459" s="7"/>
      <c r="M459" s="29"/>
      <c r="N459" s="32"/>
      <c r="O459" s="32"/>
      <c r="P459" s="32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</row>
    <row r="460" spans="1:45" x14ac:dyDescent="0.3">
      <c r="A460" s="7"/>
      <c r="B460" s="7"/>
      <c r="C460" s="7"/>
      <c r="D460" s="10"/>
      <c r="E460" s="10"/>
      <c r="F460" s="10"/>
      <c r="G460" s="11"/>
      <c r="H460" s="11"/>
      <c r="I460" s="11"/>
      <c r="J460" s="7"/>
      <c r="K460" s="7"/>
      <c r="L460" s="7"/>
      <c r="M460" s="29"/>
      <c r="N460" s="32"/>
      <c r="O460" s="32"/>
      <c r="P460" s="32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</row>
    <row r="461" spans="1:45" x14ac:dyDescent="0.3">
      <c r="A461" s="7"/>
      <c r="B461" s="7"/>
      <c r="C461" s="7"/>
      <c r="D461" s="10"/>
      <c r="E461" s="10"/>
      <c r="F461" s="10"/>
      <c r="G461" s="11"/>
      <c r="H461" s="11"/>
      <c r="I461" s="11"/>
      <c r="J461" s="7"/>
      <c r="K461" s="7"/>
      <c r="L461" s="7"/>
      <c r="M461" s="29"/>
      <c r="N461" s="32"/>
      <c r="O461" s="32"/>
      <c r="P461" s="32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</row>
    <row r="462" spans="1:45" x14ac:dyDescent="0.3">
      <c r="A462" s="7"/>
      <c r="B462" s="7"/>
      <c r="C462" s="7"/>
      <c r="D462" s="10"/>
      <c r="E462" s="10"/>
      <c r="F462" s="10"/>
      <c r="G462" s="11"/>
      <c r="H462" s="11"/>
      <c r="I462" s="11"/>
      <c r="J462" s="7"/>
      <c r="K462" s="7"/>
      <c r="L462" s="7"/>
      <c r="M462" s="29"/>
      <c r="N462" s="32"/>
      <c r="O462" s="32"/>
      <c r="P462" s="32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</row>
    <row r="463" spans="1:45" x14ac:dyDescent="0.3">
      <c r="A463" s="7"/>
      <c r="B463" s="7"/>
      <c r="C463" s="7"/>
      <c r="D463" s="10"/>
      <c r="E463" s="10"/>
      <c r="F463" s="10"/>
      <c r="G463" s="11"/>
      <c r="H463" s="11"/>
      <c r="I463" s="11"/>
      <c r="J463" s="7"/>
      <c r="K463" s="7"/>
      <c r="L463" s="7"/>
      <c r="M463" s="29"/>
      <c r="N463" s="32"/>
      <c r="O463" s="32"/>
      <c r="P463" s="32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</row>
    <row r="464" spans="1:45" x14ac:dyDescent="0.3">
      <c r="A464" s="7"/>
      <c r="B464" s="7"/>
      <c r="C464" s="7"/>
      <c r="D464" s="10"/>
      <c r="E464" s="10"/>
      <c r="F464" s="10"/>
      <c r="G464" s="11"/>
      <c r="H464" s="11"/>
      <c r="I464" s="11"/>
      <c r="J464" s="7"/>
      <c r="K464" s="7"/>
      <c r="L464" s="7"/>
      <c r="M464" s="29"/>
      <c r="N464" s="32"/>
      <c r="O464" s="32"/>
      <c r="P464" s="32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</row>
    <row r="465" spans="1:45" x14ac:dyDescent="0.3">
      <c r="A465" s="7"/>
      <c r="B465" s="7"/>
      <c r="C465" s="7"/>
      <c r="D465" s="10"/>
      <c r="E465" s="10"/>
      <c r="F465" s="10"/>
      <c r="G465" s="11"/>
      <c r="H465" s="11"/>
      <c r="I465" s="11"/>
      <c r="J465" s="7"/>
      <c r="K465" s="7"/>
      <c r="L465" s="7"/>
      <c r="M465" s="29"/>
      <c r="N465" s="32"/>
      <c r="O465" s="32"/>
      <c r="P465" s="32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</row>
    <row r="466" spans="1:45" x14ac:dyDescent="0.3">
      <c r="A466" s="7"/>
      <c r="B466" s="7"/>
      <c r="C466" s="7"/>
      <c r="D466" s="10"/>
      <c r="E466" s="10"/>
      <c r="F466" s="10"/>
      <c r="G466" s="11"/>
      <c r="H466" s="11"/>
      <c r="I466" s="11"/>
      <c r="J466" s="7"/>
      <c r="K466" s="7"/>
      <c r="L466" s="7"/>
      <c r="M466" s="29"/>
      <c r="N466" s="32"/>
      <c r="O466" s="32"/>
      <c r="P466" s="32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</row>
    <row r="467" spans="1:45" x14ac:dyDescent="0.3">
      <c r="A467" s="7"/>
      <c r="B467" s="7"/>
      <c r="C467" s="7"/>
      <c r="D467" s="10"/>
      <c r="E467" s="10"/>
      <c r="F467" s="10"/>
      <c r="G467" s="11"/>
      <c r="H467" s="11"/>
      <c r="I467" s="11"/>
      <c r="J467" s="7"/>
      <c r="K467" s="7"/>
      <c r="L467" s="7"/>
      <c r="M467" s="29"/>
      <c r="N467" s="32"/>
      <c r="O467" s="32"/>
      <c r="P467" s="32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</row>
    <row r="468" spans="1:45" x14ac:dyDescent="0.3">
      <c r="A468" s="7"/>
      <c r="B468" s="7"/>
      <c r="C468" s="7"/>
      <c r="D468" s="10"/>
      <c r="E468" s="10"/>
      <c r="F468" s="10"/>
      <c r="G468" s="11"/>
      <c r="H468" s="11"/>
      <c r="I468" s="11"/>
      <c r="J468" s="7"/>
      <c r="K468" s="7"/>
      <c r="L468" s="7"/>
      <c r="M468" s="29"/>
      <c r="N468" s="32"/>
      <c r="O468" s="32"/>
      <c r="P468" s="32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</row>
    <row r="469" spans="1:45" x14ac:dyDescent="0.3">
      <c r="A469" s="7"/>
      <c r="B469" s="7"/>
      <c r="C469" s="7"/>
      <c r="D469" s="10"/>
      <c r="E469" s="10"/>
      <c r="F469" s="10"/>
      <c r="G469" s="11"/>
      <c r="H469" s="11"/>
      <c r="I469" s="11"/>
      <c r="J469" s="7"/>
      <c r="K469" s="7"/>
      <c r="L469" s="7"/>
      <c r="M469" s="29"/>
      <c r="N469" s="32"/>
      <c r="O469" s="32"/>
      <c r="P469" s="32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</row>
    <row r="470" spans="1:45" x14ac:dyDescent="0.3">
      <c r="A470" s="7"/>
      <c r="B470" s="7"/>
      <c r="C470" s="7"/>
      <c r="D470" s="10"/>
      <c r="E470" s="10"/>
      <c r="F470" s="10"/>
      <c r="G470" s="11"/>
      <c r="H470" s="11"/>
      <c r="I470" s="11"/>
      <c r="J470" s="7"/>
      <c r="K470" s="7"/>
      <c r="L470" s="7"/>
      <c r="M470" s="29"/>
      <c r="N470" s="32"/>
      <c r="O470" s="32"/>
      <c r="P470" s="32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</row>
    <row r="471" spans="1:45" x14ac:dyDescent="0.3">
      <c r="A471" s="7"/>
      <c r="B471" s="7"/>
      <c r="C471" s="7"/>
      <c r="D471" s="10"/>
      <c r="E471" s="10"/>
      <c r="F471" s="10"/>
      <c r="G471" s="11"/>
      <c r="H471" s="11"/>
      <c r="I471" s="11"/>
      <c r="J471" s="7"/>
      <c r="K471" s="7"/>
      <c r="L471" s="7"/>
      <c r="M471" s="29"/>
      <c r="N471" s="32"/>
      <c r="O471" s="32"/>
      <c r="P471" s="32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</row>
    <row r="472" spans="1:45" x14ac:dyDescent="0.3">
      <c r="A472" s="7"/>
      <c r="B472" s="7"/>
      <c r="C472" s="7"/>
      <c r="D472" s="10"/>
      <c r="E472" s="10"/>
      <c r="F472" s="10"/>
      <c r="G472" s="11"/>
      <c r="H472" s="11"/>
      <c r="I472" s="11"/>
      <c r="J472" s="7"/>
      <c r="K472" s="7"/>
      <c r="L472" s="7"/>
      <c r="M472" s="29"/>
      <c r="N472" s="32"/>
      <c r="O472" s="32"/>
      <c r="P472" s="32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</row>
    <row r="473" spans="1:45" x14ac:dyDescent="0.3">
      <c r="A473" s="7"/>
      <c r="B473" s="7"/>
      <c r="C473" s="7"/>
      <c r="D473" s="10"/>
      <c r="E473" s="10"/>
      <c r="F473" s="10"/>
      <c r="G473" s="11"/>
      <c r="H473" s="11"/>
      <c r="I473" s="11"/>
      <c r="J473" s="7"/>
      <c r="K473" s="7"/>
      <c r="L473" s="7"/>
      <c r="M473" s="29"/>
      <c r="N473" s="32"/>
      <c r="O473" s="32"/>
      <c r="P473" s="32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</row>
    <row r="474" spans="1:45" x14ac:dyDescent="0.3">
      <c r="A474" s="7"/>
      <c r="B474" s="7"/>
      <c r="C474" s="7"/>
      <c r="D474" s="10"/>
      <c r="E474" s="10"/>
      <c r="F474" s="10"/>
      <c r="G474" s="11"/>
      <c r="H474" s="11"/>
      <c r="I474" s="11"/>
      <c r="J474" s="7"/>
      <c r="K474" s="7"/>
      <c r="L474" s="7"/>
      <c r="M474" s="29"/>
      <c r="N474" s="32"/>
      <c r="O474" s="32"/>
      <c r="P474" s="32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</row>
    <row r="475" spans="1:45" x14ac:dyDescent="0.3">
      <c r="A475" s="7"/>
      <c r="B475" s="7"/>
      <c r="C475" s="7"/>
      <c r="D475" s="10"/>
      <c r="E475" s="10"/>
      <c r="F475" s="10"/>
      <c r="G475" s="11"/>
      <c r="H475" s="11"/>
      <c r="I475" s="11"/>
      <c r="J475" s="7"/>
      <c r="K475" s="7"/>
      <c r="L475" s="7"/>
      <c r="M475" s="29"/>
      <c r="N475" s="32"/>
      <c r="O475" s="32"/>
      <c r="P475" s="32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</row>
    <row r="476" spans="1:45" x14ac:dyDescent="0.3">
      <c r="A476" s="7"/>
      <c r="B476" s="7"/>
      <c r="C476" s="7"/>
      <c r="D476" s="10"/>
      <c r="E476" s="10"/>
      <c r="F476" s="10"/>
      <c r="G476" s="11"/>
      <c r="H476" s="11"/>
      <c r="I476" s="11"/>
      <c r="J476" s="7"/>
      <c r="K476" s="7"/>
      <c r="L476" s="7"/>
      <c r="M476" s="29"/>
      <c r="N476" s="32"/>
      <c r="O476" s="32"/>
      <c r="P476" s="32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</row>
    <row r="477" spans="1:45" x14ac:dyDescent="0.3">
      <c r="A477" s="7"/>
      <c r="B477" s="7"/>
      <c r="C477" s="7"/>
      <c r="D477" s="10"/>
      <c r="E477" s="10"/>
      <c r="F477" s="10"/>
      <c r="G477" s="11"/>
      <c r="H477" s="11"/>
      <c r="I477" s="11"/>
      <c r="J477" s="7"/>
      <c r="K477" s="7"/>
      <c r="L477" s="7"/>
      <c r="M477" s="29"/>
      <c r="N477" s="32"/>
      <c r="O477" s="32"/>
      <c r="P477" s="32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</row>
    <row r="478" spans="1:45" x14ac:dyDescent="0.3">
      <c r="A478" s="7"/>
      <c r="B478" s="7"/>
      <c r="C478" s="7"/>
      <c r="D478" s="10"/>
      <c r="E478" s="10"/>
      <c r="F478" s="10"/>
      <c r="G478" s="11"/>
      <c r="H478" s="11"/>
      <c r="I478" s="11"/>
      <c r="J478" s="7"/>
      <c r="K478" s="7"/>
      <c r="L478" s="7"/>
      <c r="M478" s="29"/>
      <c r="N478" s="32"/>
      <c r="O478" s="32"/>
      <c r="P478" s="32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</row>
    <row r="479" spans="1:45" x14ac:dyDescent="0.3">
      <c r="A479" s="7"/>
      <c r="B479" s="7"/>
      <c r="C479" s="7"/>
      <c r="D479" s="10"/>
      <c r="E479" s="10"/>
      <c r="F479" s="10"/>
      <c r="G479" s="11"/>
      <c r="H479" s="11"/>
      <c r="I479" s="11"/>
      <c r="J479" s="7"/>
      <c r="K479" s="7"/>
      <c r="L479" s="7"/>
      <c r="M479" s="29"/>
      <c r="N479" s="32"/>
      <c r="O479" s="32"/>
      <c r="P479" s="32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</row>
    <row r="480" spans="1:45" x14ac:dyDescent="0.3">
      <c r="A480" s="7"/>
      <c r="B480" s="7"/>
      <c r="C480" s="7"/>
      <c r="D480" s="10"/>
      <c r="E480" s="10"/>
      <c r="F480" s="10"/>
      <c r="G480" s="11"/>
      <c r="H480" s="11"/>
      <c r="I480" s="11"/>
      <c r="J480" s="7"/>
      <c r="K480" s="7"/>
      <c r="L480" s="7"/>
      <c r="M480" s="29"/>
      <c r="N480" s="32"/>
      <c r="O480" s="32"/>
      <c r="P480" s="32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</row>
    <row r="481" spans="1:45" x14ac:dyDescent="0.3">
      <c r="A481" s="7"/>
      <c r="B481" s="7"/>
      <c r="C481" s="7"/>
      <c r="D481" s="10"/>
      <c r="E481" s="10"/>
      <c r="F481" s="10"/>
      <c r="G481" s="11"/>
      <c r="H481" s="11"/>
      <c r="I481" s="11"/>
      <c r="J481" s="7"/>
      <c r="K481" s="7"/>
      <c r="L481" s="7"/>
      <c r="M481" s="29"/>
      <c r="N481" s="32"/>
      <c r="O481" s="32"/>
      <c r="P481" s="32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</row>
    <row r="482" spans="1:45" x14ac:dyDescent="0.3">
      <c r="A482" s="7"/>
      <c r="B482" s="7"/>
      <c r="C482" s="7"/>
      <c r="D482" s="10"/>
      <c r="E482" s="10"/>
      <c r="F482" s="10"/>
      <c r="G482" s="11"/>
      <c r="H482" s="11"/>
      <c r="I482" s="11"/>
      <c r="J482" s="7"/>
      <c r="K482" s="7"/>
      <c r="L482" s="7"/>
      <c r="M482" s="29"/>
      <c r="N482" s="32"/>
      <c r="O482" s="32"/>
      <c r="P482" s="32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</row>
    <row r="483" spans="1:45" x14ac:dyDescent="0.3">
      <c r="A483" s="7"/>
      <c r="B483" s="7"/>
      <c r="C483" s="7"/>
      <c r="D483" s="10"/>
      <c r="E483" s="10"/>
      <c r="F483" s="10"/>
      <c r="G483" s="11"/>
      <c r="H483" s="11"/>
      <c r="I483" s="11"/>
      <c r="J483" s="7"/>
      <c r="K483" s="7"/>
      <c r="L483" s="7"/>
      <c r="M483" s="29"/>
      <c r="N483" s="32"/>
      <c r="O483" s="32"/>
      <c r="P483" s="32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</row>
    <row r="484" spans="1:45" x14ac:dyDescent="0.3">
      <c r="A484" s="7"/>
      <c r="B484" s="7"/>
      <c r="C484" s="7"/>
      <c r="D484" s="10"/>
      <c r="E484" s="10"/>
      <c r="F484" s="10"/>
      <c r="G484" s="11"/>
      <c r="H484" s="11"/>
      <c r="I484" s="11"/>
      <c r="J484" s="7"/>
      <c r="K484" s="7"/>
      <c r="L484" s="7"/>
      <c r="M484" s="29"/>
      <c r="N484" s="32"/>
      <c r="O484" s="32"/>
      <c r="P484" s="32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</row>
    <row r="485" spans="1:45" x14ac:dyDescent="0.3">
      <c r="A485" s="7"/>
      <c r="B485" s="7"/>
      <c r="C485" s="7"/>
      <c r="D485" s="10"/>
      <c r="E485" s="10"/>
      <c r="F485" s="10"/>
      <c r="G485" s="11"/>
      <c r="H485" s="11"/>
      <c r="I485" s="11"/>
      <c r="J485" s="7"/>
      <c r="K485" s="7"/>
      <c r="L485" s="7"/>
      <c r="M485" s="29"/>
      <c r="N485" s="32"/>
      <c r="O485" s="32"/>
      <c r="P485" s="32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</row>
    <row r="486" spans="1:45" x14ac:dyDescent="0.3">
      <c r="A486" s="7"/>
      <c r="B486" s="7"/>
      <c r="C486" s="7"/>
      <c r="D486" s="10"/>
      <c r="E486" s="10"/>
      <c r="F486" s="10"/>
      <c r="G486" s="11"/>
      <c r="H486" s="11"/>
      <c r="I486" s="11"/>
      <c r="J486" s="7"/>
      <c r="K486" s="7"/>
      <c r="L486" s="7"/>
      <c r="M486" s="29"/>
      <c r="N486" s="32"/>
      <c r="O486" s="32"/>
      <c r="P486" s="32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</row>
    <row r="487" spans="1:45" x14ac:dyDescent="0.3">
      <c r="A487" s="7"/>
      <c r="B487" s="7"/>
      <c r="C487" s="7"/>
      <c r="D487" s="10"/>
      <c r="E487" s="10"/>
      <c r="F487" s="10"/>
      <c r="G487" s="11"/>
      <c r="H487" s="11"/>
      <c r="I487" s="11"/>
      <c r="J487" s="7"/>
      <c r="K487" s="7"/>
      <c r="L487" s="7"/>
      <c r="M487" s="29"/>
      <c r="N487" s="32"/>
      <c r="O487" s="32"/>
      <c r="P487" s="32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</row>
    <row r="488" spans="1:45" x14ac:dyDescent="0.3">
      <c r="A488" s="7"/>
      <c r="B488" s="7"/>
      <c r="C488" s="7"/>
      <c r="D488" s="10"/>
      <c r="E488" s="10"/>
      <c r="F488" s="10"/>
      <c r="G488" s="11"/>
      <c r="H488" s="11"/>
      <c r="I488" s="11"/>
      <c r="J488" s="7"/>
      <c r="K488" s="7"/>
      <c r="L488" s="7"/>
      <c r="M488" s="29"/>
      <c r="N488" s="32"/>
      <c r="O488" s="32"/>
      <c r="P488" s="32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</row>
    <row r="489" spans="1:45" x14ac:dyDescent="0.3">
      <c r="A489" s="7"/>
      <c r="B489" s="7"/>
      <c r="C489" s="7"/>
      <c r="D489" s="10"/>
      <c r="E489" s="10"/>
      <c r="F489" s="10"/>
      <c r="G489" s="11"/>
      <c r="H489" s="11"/>
      <c r="I489" s="11"/>
      <c r="J489" s="7"/>
      <c r="K489" s="7"/>
      <c r="L489" s="7"/>
      <c r="M489" s="29"/>
      <c r="N489" s="32"/>
      <c r="O489" s="32"/>
      <c r="P489" s="32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</row>
    <row r="490" spans="1:45" x14ac:dyDescent="0.3">
      <c r="A490" s="7"/>
      <c r="B490" s="7"/>
      <c r="C490" s="7"/>
      <c r="D490" s="10"/>
      <c r="E490" s="10"/>
      <c r="F490" s="10"/>
      <c r="G490" s="11"/>
      <c r="H490" s="11"/>
      <c r="I490" s="11"/>
      <c r="J490" s="7"/>
      <c r="K490" s="7"/>
      <c r="L490" s="7"/>
      <c r="M490" s="29"/>
      <c r="N490" s="32"/>
      <c r="O490" s="32"/>
      <c r="P490" s="32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</row>
    <row r="491" spans="1:45" x14ac:dyDescent="0.3">
      <c r="A491" s="7"/>
      <c r="B491" s="7"/>
      <c r="C491" s="7"/>
      <c r="D491" s="10"/>
      <c r="E491" s="10"/>
      <c r="F491" s="10"/>
      <c r="G491" s="11"/>
      <c r="H491" s="11"/>
      <c r="I491" s="11"/>
      <c r="J491" s="7"/>
      <c r="K491" s="7"/>
      <c r="L491" s="7"/>
      <c r="M491" s="29"/>
      <c r="N491" s="32"/>
      <c r="O491" s="32"/>
      <c r="P491" s="32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</row>
    <row r="492" spans="1:45" x14ac:dyDescent="0.3">
      <c r="A492" s="7"/>
      <c r="B492" s="7"/>
      <c r="C492" s="7"/>
      <c r="D492" s="10"/>
      <c r="E492" s="10"/>
      <c r="F492" s="10"/>
      <c r="G492" s="11"/>
      <c r="H492" s="11"/>
      <c r="I492" s="11"/>
      <c r="J492" s="7"/>
      <c r="K492" s="7"/>
      <c r="L492" s="7"/>
      <c r="M492" s="29"/>
      <c r="N492" s="32"/>
      <c r="O492" s="32"/>
      <c r="P492" s="32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</row>
    <row r="493" spans="1:45" x14ac:dyDescent="0.3">
      <c r="A493" s="7"/>
      <c r="B493" s="7"/>
      <c r="C493" s="7"/>
      <c r="D493" s="10"/>
      <c r="E493" s="10"/>
      <c r="F493" s="10"/>
      <c r="G493" s="11"/>
      <c r="H493" s="11"/>
      <c r="I493" s="11"/>
      <c r="J493" s="7"/>
      <c r="K493" s="7"/>
      <c r="L493" s="7"/>
      <c r="M493" s="29"/>
      <c r="N493" s="32"/>
      <c r="O493" s="32"/>
      <c r="P493" s="32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</row>
    <row r="494" spans="1:45" x14ac:dyDescent="0.3">
      <c r="A494" s="7"/>
      <c r="B494" s="7"/>
      <c r="C494" s="7"/>
      <c r="D494" s="10"/>
      <c r="E494" s="10"/>
      <c r="F494" s="10"/>
      <c r="G494" s="11"/>
      <c r="H494" s="11"/>
      <c r="I494" s="11"/>
      <c r="J494" s="7"/>
      <c r="K494" s="7"/>
      <c r="L494" s="7"/>
      <c r="M494" s="29"/>
      <c r="N494" s="32"/>
      <c r="O494" s="32"/>
      <c r="P494" s="32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</row>
    <row r="495" spans="1:45" x14ac:dyDescent="0.3">
      <c r="A495" s="7"/>
      <c r="B495" s="7"/>
      <c r="C495" s="7"/>
      <c r="D495" s="10"/>
      <c r="E495" s="10"/>
      <c r="F495" s="10"/>
      <c r="G495" s="11"/>
      <c r="H495" s="11"/>
      <c r="I495" s="11"/>
      <c r="J495" s="7"/>
      <c r="K495" s="7"/>
      <c r="L495" s="7"/>
      <c r="M495" s="29"/>
      <c r="N495" s="32"/>
      <c r="O495" s="32"/>
      <c r="P495" s="32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</row>
    <row r="496" spans="1:45" x14ac:dyDescent="0.3">
      <c r="A496" s="7"/>
      <c r="B496" s="7"/>
      <c r="C496" s="7"/>
      <c r="D496" s="10"/>
      <c r="E496" s="10"/>
      <c r="F496" s="10"/>
      <c r="G496" s="11"/>
      <c r="H496" s="11"/>
      <c r="I496" s="11"/>
      <c r="J496" s="7"/>
      <c r="K496" s="7"/>
      <c r="L496" s="7"/>
      <c r="M496" s="29"/>
      <c r="N496" s="32"/>
      <c r="O496" s="32"/>
      <c r="P496" s="32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</row>
    <row r="497" spans="1:45" x14ac:dyDescent="0.3">
      <c r="A497" s="7"/>
      <c r="B497" s="7"/>
      <c r="C497" s="7"/>
      <c r="D497" s="10"/>
      <c r="E497" s="10"/>
      <c r="F497" s="10"/>
      <c r="G497" s="11"/>
      <c r="H497" s="11"/>
      <c r="I497" s="11"/>
      <c r="J497" s="7"/>
      <c r="K497" s="7"/>
      <c r="L497" s="7"/>
      <c r="M497" s="29"/>
      <c r="N497" s="32"/>
      <c r="O497" s="32"/>
      <c r="P497" s="32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</row>
    <row r="498" spans="1:45" x14ac:dyDescent="0.3">
      <c r="A498" s="7"/>
      <c r="B498" s="7"/>
      <c r="C498" s="7"/>
      <c r="D498" s="10"/>
      <c r="E498" s="10"/>
      <c r="F498" s="10"/>
      <c r="G498" s="11"/>
      <c r="H498" s="11"/>
      <c r="I498" s="11"/>
      <c r="J498" s="7"/>
      <c r="K498" s="7"/>
      <c r="L498" s="7"/>
      <c r="M498" s="29"/>
      <c r="N498" s="32"/>
      <c r="O498" s="32"/>
      <c r="P498" s="32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</row>
    <row r="499" spans="1:45" x14ac:dyDescent="0.3">
      <c r="A499" s="7"/>
      <c r="B499" s="7"/>
      <c r="C499" s="7"/>
      <c r="D499" s="10"/>
      <c r="E499" s="10"/>
      <c r="F499" s="10"/>
      <c r="G499" s="11"/>
      <c r="H499" s="11"/>
      <c r="I499" s="11"/>
      <c r="J499" s="7"/>
      <c r="K499" s="7"/>
      <c r="L499" s="7"/>
      <c r="M499" s="29"/>
      <c r="N499" s="32"/>
      <c r="O499" s="32"/>
      <c r="P499" s="32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</row>
    <row r="500" spans="1:45" x14ac:dyDescent="0.3">
      <c r="A500" s="7"/>
      <c r="B500" s="7"/>
      <c r="C500" s="7"/>
      <c r="D500" s="10"/>
      <c r="E500" s="10"/>
      <c r="F500" s="10"/>
      <c r="G500" s="11"/>
      <c r="H500" s="11"/>
      <c r="I500" s="11"/>
      <c r="J500" s="7"/>
      <c r="K500" s="7"/>
      <c r="L500" s="7"/>
      <c r="M500" s="29"/>
      <c r="N500" s="32"/>
      <c r="O500" s="32"/>
      <c r="P500" s="32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</row>
    <row r="501" spans="1:45" x14ac:dyDescent="0.3">
      <c r="A501" s="7"/>
      <c r="B501" s="7"/>
      <c r="C501" s="7"/>
      <c r="D501" s="10"/>
      <c r="E501" s="10"/>
      <c r="F501" s="10"/>
      <c r="G501" s="11"/>
      <c r="H501" s="11"/>
      <c r="I501" s="11"/>
      <c r="J501" s="7"/>
      <c r="K501" s="7"/>
      <c r="L501" s="7"/>
      <c r="M501" s="29"/>
      <c r="N501" s="32"/>
      <c r="O501" s="32"/>
      <c r="P501" s="32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</row>
    <row r="502" spans="1:45" x14ac:dyDescent="0.3">
      <c r="A502" s="7"/>
      <c r="B502" s="7"/>
      <c r="C502" s="7"/>
      <c r="D502" s="10"/>
      <c r="E502" s="10"/>
      <c r="F502" s="10"/>
      <c r="G502" s="11"/>
      <c r="H502" s="11"/>
      <c r="I502" s="11"/>
      <c r="J502" s="7"/>
      <c r="K502" s="7"/>
      <c r="L502" s="7"/>
      <c r="M502" s="29"/>
      <c r="N502" s="32"/>
      <c r="O502" s="32"/>
      <c r="P502" s="32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</row>
    <row r="503" spans="1:45" x14ac:dyDescent="0.3">
      <c r="A503" s="7"/>
      <c r="B503" s="7"/>
      <c r="C503" s="7"/>
      <c r="D503" s="10"/>
      <c r="E503" s="10"/>
      <c r="F503" s="10"/>
      <c r="G503" s="11"/>
      <c r="H503" s="11"/>
      <c r="I503" s="11"/>
      <c r="J503" s="7"/>
      <c r="K503" s="7"/>
      <c r="L503" s="7"/>
      <c r="M503" s="29"/>
      <c r="N503" s="32"/>
      <c r="O503" s="32"/>
      <c r="P503" s="32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</row>
    <row r="504" spans="1:45" x14ac:dyDescent="0.3">
      <c r="A504" s="7"/>
      <c r="B504" s="7"/>
      <c r="C504" s="7"/>
      <c r="D504" s="10"/>
      <c r="E504" s="10"/>
      <c r="F504" s="10"/>
      <c r="G504" s="11"/>
      <c r="H504" s="11"/>
      <c r="I504" s="11"/>
      <c r="J504" s="7"/>
      <c r="K504" s="7"/>
      <c r="L504" s="7"/>
      <c r="M504" s="29"/>
      <c r="N504" s="32"/>
      <c r="O504" s="32"/>
      <c r="P504" s="32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</row>
    <row r="505" spans="1:45" x14ac:dyDescent="0.3">
      <c r="A505" s="7"/>
      <c r="B505" s="7"/>
      <c r="C505" s="7"/>
      <c r="D505" s="10"/>
      <c r="E505" s="10"/>
      <c r="F505" s="10"/>
      <c r="G505" s="11"/>
      <c r="H505" s="11"/>
      <c r="I505" s="11"/>
      <c r="J505" s="7"/>
      <c r="K505" s="7"/>
      <c r="L505" s="7"/>
      <c r="M505" s="29"/>
      <c r="N505" s="32"/>
      <c r="O505" s="32"/>
      <c r="P505" s="32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</row>
    <row r="506" spans="1:45" x14ac:dyDescent="0.3">
      <c r="A506" s="7"/>
      <c r="B506" s="7"/>
      <c r="C506" s="7"/>
      <c r="D506" s="10"/>
      <c r="E506" s="10"/>
      <c r="F506" s="10"/>
      <c r="G506" s="11"/>
      <c r="H506" s="11"/>
      <c r="I506" s="11"/>
      <c r="J506" s="7"/>
      <c r="K506" s="7"/>
      <c r="L506" s="7"/>
      <c r="M506" s="29"/>
      <c r="N506" s="32"/>
      <c r="O506" s="32"/>
      <c r="P506" s="32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</row>
    <row r="507" spans="1:45" x14ac:dyDescent="0.3">
      <c r="A507" s="7"/>
      <c r="B507" s="7"/>
      <c r="C507" s="7"/>
      <c r="D507" s="10"/>
      <c r="E507" s="10"/>
      <c r="F507" s="10"/>
      <c r="G507" s="11"/>
      <c r="H507" s="11"/>
      <c r="I507" s="11"/>
      <c r="J507" s="7"/>
      <c r="K507" s="7"/>
      <c r="L507" s="7"/>
      <c r="M507" s="29"/>
      <c r="N507" s="32"/>
      <c r="O507" s="32"/>
      <c r="P507" s="32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</row>
    <row r="508" spans="1:45" x14ac:dyDescent="0.3">
      <c r="A508" s="7"/>
      <c r="B508" s="7"/>
      <c r="C508" s="7"/>
      <c r="D508" s="10"/>
      <c r="E508" s="10"/>
      <c r="F508" s="10"/>
      <c r="G508" s="11"/>
      <c r="H508" s="11"/>
      <c r="I508" s="11"/>
      <c r="J508" s="7"/>
      <c r="K508" s="7"/>
      <c r="L508" s="7"/>
      <c r="M508" s="29"/>
      <c r="N508" s="32"/>
      <c r="O508" s="32"/>
      <c r="P508" s="32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</row>
    <row r="509" spans="1:45" x14ac:dyDescent="0.3">
      <c r="A509" s="7"/>
      <c r="B509" s="7"/>
      <c r="C509" s="7"/>
      <c r="D509" s="10"/>
      <c r="E509" s="10"/>
      <c r="F509" s="10"/>
      <c r="G509" s="11"/>
      <c r="H509" s="11"/>
      <c r="I509" s="11"/>
      <c r="J509" s="7"/>
      <c r="K509" s="7"/>
      <c r="L509" s="7"/>
      <c r="M509" s="29"/>
      <c r="N509" s="32"/>
      <c r="O509" s="32"/>
      <c r="P509" s="32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</row>
    <row r="510" spans="1:45" x14ac:dyDescent="0.3">
      <c r="A510" s="7"/>
      <c r="B510" s="7"/>
      <c r="C510" s="7"/>
      <c r="D510" s="10"/>
      <c r="E510" s="10"/>
      <c r="F510" s="10"/>
      <c r="G510" s="11"/>
      <c r="H510" s="11"/>
      <c r="I510" s="11"/>
      <c r="J510" s="7"/>
      <c r="K510" s="7"/>
      <c r="L510" s="7"/>
      <c r="M510" s="29"/>
      <c r="N510" s="32"/>
      <c r="O510" s="32"/>
      <c r="P510" s="32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</row>
    <row r="511" spans="1:45" x14ac:dyDescent="0.3">
      <c r="A511" s="7"/>
      <c r="B511" s="7"/>
      <c r="C511" s="7"/>
      <c r="D511" s="10"/>
      <c r="E511" s="10"/>
      <c r="F511" s="10"/>
      <c r="G511" s="11"/>
      <c r="H511" s="11"/>
      <c r="I511" s="11"/>
      <c r="J511" s="7"/>
      <c r="K511" s="7"/>
      <c r="L511" s="7"/>
      <c r="M511" s="29"/>
      <c r="N511" s="32"/>
      <c r="O511" s="32"/>
      <c r="P511" s="32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</row>
    <row r="512" spans="1:45" x14ac:dyDescent="0.3">
      <c r="A512" s="7"/>
      <c r="B512" s="7"/>
      <c r="C512" s="7"/>
      <c r="D512" s="10"/>
      <c r="E512" s="10"/>
      <c r="F512" s="10"/>
      <c r="G512" s="11"/>
      <c r="H512" s="11"/>
      <c r="I512" s="11"/>
      <c r="J512" s="7"/>
      <c r="K512" s="7"/>
      <c r="L512" s="7"/>
      <c r="M512" s="29"/>
      <c r="N512" s="32"/>
      <c r="O512" s="32"/>
      <c r="P512" s="32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</row>
    <row r="513" spans="1:45" x14ac:dyDescent="0.3">
      <c r="A513" s="7"/>
      <c r="B513" s="7"/>
      <c r="C513" s="7"/>
      <c r="D513" s="10"/>
      <c r="E513" s="10"/>
      <c r="F513" s="10"/>
      <c r="G513" s="11"/>
      <c r="H513" s="11"/>
      <c r="I513" s="11"/>
      <c r="J513" s="7"/>
      <c r="K513" s="7"/>
      <c r="L513" s="7"/>
      <c r="M513" s="29"/>
      <c r="N513" s="32"/>
      <c r="O513" s="32"/>
      <c r="P513" s="32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</row>
    <row r="514" spans="1:45" x14ac:dyDescent="0.3">
      <c r="A514" s="7"/>
      <c r="B514" s="7"/>
      <c r="C514" s="7"/>
      <c r="D514" s="10"/>
      <c r="E514" s="10"/>
      <c r="F514" s="10"/>
      <c r="G514" s="11"/>
      <c r="H514" s="11"/>
      <c r="I514" s="11"/>
      <c r="J514" s="7"/>
      <c r="K514" s="7"/>
      <c r="L514" s="7"/>
      <c r="M514" s="29"/>
      <c r="N514" s="32"/>
      <c r="O514" s="32"/>
      <c r="P514" s="32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</row>
    <row r="515" spans="1:45" x14ac:dyDescent="0.3">
      <c r="A515" s="7"/>
      <c r="B515" s="7"/>
      <c r="C515" s="7"/>
      <c r="D515" s="10"/>
      <c r="E515" s="10"/>
      <c r="F515" s="10"/>
      <c r="G515" s="11"/>
      <c r="H515" s="11"/>
      <c r="I515" s="11"/>
      <c r="J515" s="7"/>
      <c r="K515" s="7"/>
      <c r="L515" s="7"/>
      <c r="M515" s="29"/>
      <c r="N515" s="32"/>
      <c r="O515" s="32"/>
      <c r="P515" s="32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</row>
    <row r="516" spans="1:45" x14ac:dyDescent="0.3">
      <c r="A516" s="7"/>
      <c r="B516" s="7"/>
      <c r="C516" s="7"/>
      <c r="D516" s="10"/>
      <c r="E516" s="10"/>
      <c r="F516" s="10"/>
      <c r="G516" s="11"/>
      <c r="H516" s="11"/>
      <c r="I516" s="11"/>
      <c r="J516" s="7"/>
      <c r="K516" s="7"/>
      <c r="L516" s="7"/>
      <c r="M516" s="29"/>
      <c r="N516" s="32"/>
      <c r="O516" s="32"/>
      <c r="P516" s="32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</row>
    <row r="517" spans="1:45" x14ac:dyDescent="0.3">
      <c r="A517" s="7"/>
      <c r="B517" s="7"/>
      <c r="C517" s="7"/>
      <c r="D517" s="10"/>
      <c r="E517" s="10"/>
      <c r="F517" s="10"/>
      <c r="G517" s="11"/>
      <c r="H517" s="11"/>
      <c r="I517" s="11"/>
      <c r="J517" s="7"/>
      <c r="K517" s="7"/>
      <c r="L517" s="7"/>
      <c r="M517" s="29"/>
      <c r="N517" s="32"/>
      <c r="O517" s="32"/>
      <c r="P517" s="32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</row>
    <row r="518" spans="1:45" x14ac:dyDescent="0.3">
      <c r="A518" s="7"/>
      <c r="B518" s="7"/>
      <c r="C518" s="7"/>
      <c r="D518" s="10"/>
      <c r="E518" s="10"/>
      <c r="F518" s="10"/>
      <c r="G518" s="11"/>
      <c r="H518" s="11"/>
      <c r="I518" s="11"/>
      <c r="J518" s="7"/>
      <c r="K518" s="7"/>
      <c r="L518" s="7"/>
      <c r="M518" s="29"/>
      <c r="N518" s="32"/>
      <c r="O518" s="32"/>
      <c r="P518" s="32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</row>
    <row r="519" spans="1:45" x14ac:dyDescent="0.3">
      <c r="A519" s="7"/>
      <c r="B519" s="7"/>
      <c r="C519" s="7"/>
      <c r="D519" s="10"/>
      <c r="E519" s="10"/>
      <c r="F519" s="10"/>
      <c r="G519" s="11"/>
      <c r="H519" s="11"/>
      <c r="I519" s="11"/>
      <c r="J519" s="7"/>
      <c r="K519" s="7"/>
      <c r="L519" s="7"/>
      <c r="M519" s="29"/>
      <c r="N519" s="32"/>
      <c r="O519" s="32"/>
      <c r="P519" s="32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</row>
    <row r="520" spans="1:45" x14ac:dyDescent="0.3">
      <c r="A520" s="7"/>
      <c r="B520" s="7"/>
      <c r="C520" s="7"/>
      <c r="D520" s="10"/>
      <c r="E520" s="10"/>
      <c r="F520" s="10"/>
      <c r="G520" s="11"/>
      <c r="H520" s="11"/>
      <c r="I520" s="11"/>
      <c r="J520" s="7"/>
      <c r="K520" s="7"/>
      <c r="L520" s="7"/>
      <c r="M520" s="29"/>
      <c r="N520" s="32"/>
      <c r="O520" s="32"/>
      <c r="P520" s="32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</row>
    <row r="521" spans="1:45" x14ac:dyDescent="0.3">
      <c r="A521" s="7"/>
      <c r="B521" s="7"/>
      <c r="C521" s="7"/>
      <c r="D521" s="10"/>
      <c r="E521" s="10"/>
      <c r="F521" s="10"/>
      <c r="G521" s="11"/>
      <c r="H521" s="11"/>
      <c r="I521" s="11"/>
      <c r="J521" s="7"/>
      <c r="K521" s="7"/>
      <c r="L521" s="7"/>
      <c r="M521" s="29"/>
      <c r="N521" s="32"/>
      <c r="O521" s="32"/>
      <c r="P521" s="32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</row>
    <row r="522" spans="1:45" x14ac:dyDescent="0.3">
      <c r="A522" s="7"/>
      <c r="B522" s="7"/>
      <c r="C522" s="7"/>
      <c r="D522" s="10"/>
      <c r="E522" s="10"/>
      <c r="F522" s="10"/>
      <c r="G522" s="7"/>
      <c r="H522" s="7"/>
      <c r="I522" s="7"/>
      <c r="J522" s="7"/>
      <c r="K522" s="7"/>
      <c r="L522" s="7"/>
      <c r="M522" s="29"/>
      <c r="N522" s="32"/>
      <c r="O522" s="32"/>
      <c r="P522" s="32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</row>
    <row r="523" spans="1:45" x14ac:dyDescent="0.3">
      <c r="A523" s="7"/>
      <c r="B523" s="7"/>
      <c r="C523" s="7"/>
      <c r="D523" s="10"/>
      <c r="E523" s="10"/>
      <c r="F523" s="10"/>
      <c r="G523" s="7"/>
      <c r="H523" s="7"/>
      <c r="I523" s="7"/>
      <c r="J523" s="7"/>
      <c r="K523" s="7"/>
      <c r="L523" s="7"/>
      <c r="M523" s="29"/>
      <c r="N523" s="32"/>
      <c r="O523" s="32"/>
      <c r="P523" s="32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</row>
    <row r="524" spans="1:45" x14ac:dyDescent="0.3">
      <c r="A524" s="7"/>
      <c r="B524" s="7"/>
      <c r="C524" s="7"/>
      <c r="D524" s="10"/>
      <c r="E524" s="10"/>
      <c r="F524" s="10"/>
      <c r="G524" s="7"/>
      <c r="H524" s="7"/>
      <c r="I524" s="7"/>
      <c r="J524" s="7"/>
      <c r="K524" s="7"/>
      <c r="L524" s="7"/>
      <c r="M524" s="29"/>
      <c r="N524" s="32"/>
      <c r="O524" s="32"/>
      <c r="P524" s="32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</row>
    <row r="525" spans="1:45" x14ac:dyDescent="0.3">
      <c r="A525" s="7"/>
      <c r="B525" s="7"/>
      <c r="C525" s="7"/>
      <c r="D525" s="10"/>
      <c r="E525" s="10"/>
      <c r="F525" s="10"/>
      <c r="G525" s="7"/>
      <c r="H525" s="7"/>
      <c r="I525" s="7"/>
      <c r="J525" s="7"/>
      <c r="K525" s="7"/>
      <c r="L525" s="7"/>
      <c r="M525" s="29"/>
      <c r="N525" s="32"/>
      <c r="O525" s="32"/>
      <c r="P525" s="32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</row>
    <row r="526" spans="1:45" x14ac:dyDescent="0.3">
      <c r="A526" s="7"/>
      <c r="B526" s="7"/>
      <c r="C526" s="7"/>
      <c r="D526" s="10"/>
      <c r="E526" s="10"/>
      <c r="F526" s="10"/>
      <c r="G526" s="7"/>
      <c r="H526" s="7"/>
      <c r="I526" s="7"/>
      <c r="J526" s="7"/>
      <c r="K526" s="7"/>
      <c r="L526" s="7"/>
      <c r="M526" s="29"/>
      <c r="N526" s="32"/>
      <c r="O526" s="32"/>
      <c r="P526" s="32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</row>
    <row r="527" spans="1:45" x14ac:dyDescent="0.3">
      <c r="A527" s="7"/>
      <c r="B527" s="7"/>
      <c r="C527" s="7"/>
      <c r="D527" s="10"/>
      <c r="E527" s="10"/>
      <c r="F527" s="10"/>
      <c r="G527" s="7"/>
      <c r="H527" s="7"/>
      <c r="I527" s="7"/>
      <c r="J527" s="7"/>
      <c r="K527" s="7"/>
      <c r="L527" s="7"/>
      <c r="M527" s="29"/>
      <c r="N527" s="32"/>
      <c r="O527" s="32"/>
      <c r="P527" s="32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</row>
    <row r="528" spans="1:45" x14ac:dyDescent="0.3">
      <c r="A528" s="7"/>
      <c r="B528" s="7"/>
      <c r="C528" s="7"/>
      <c r="D528" s="10"/>
      <c r="E528" s="10"/>
      <c r="F528" s="10"/>
      <c r="G528" s="7"/>
      <c r="H528" s="7"/>
      <c r="I528" s="7"/>
      <c r="J528" s="7"/>
      <c r="K528" s="7"/>
      <c r="L528" s="7"/>
      <c r="M528" s="29"/>
      <c r="N528" s="32"/>
      <c r="O528" s="32"/>
      <c r="P528" s="32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</row>
    <row r="529" spans="1:45" x14ac:dyDescent="0.3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29"/>
      <c r="N529" s="32"/>
      <c r="O529" s="32"/>
      <c r="P529" s="32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</row>
  </sheetData>
  <mergeCells count="1">
    <mergeCell ref="M1:P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5672F-A561-471E-8D82-3FAE8813C7B0}">
  <sheetPr codeName="Sheet3"/>
  <dimension ref="A1:K1048576"/>
  <sheetViews>
    <sheetView workbookViewId="0">
      <selection activeCell="C33" sqref="C33"/>
    </sheetView>
  </sheetViews>
  <sheetFormatPr defaultRowHeight="14.4" x14ac:dyDescent="0.3"/>
  <cols>
    <col min="1" max="1" width="8.88671875" style="39"/>
    <col min="2" max="2" width="17.88671875" style="41" bestFit="1" customWidth="1"/>
    <col min="3" max="3" width="22.33203125" style="42" bestFit="1" customWidth="1"/>
    <col min="4" max="4" width="22.5546875" style="43" bestFit="1" customWidth="1"/>
    <col min="5" max="5" width="19.77734375" style="45" bestFit="1" customWidth="1"/>
    <col min="6" max="6" width="9.21875" bestFit="1" customWidth="1"/>
    <col min="7" max="7" width="13.33203125" style="49" bestFit="1" customWidth="1"/>
    <col min="8" max="8" width="28.109375" style="49" bestFit="1" customWidth="1"/>
    <col min="9" max="9" width="22.6640625" style="49" bestFit="1" customWidth="1"/>
    <col min="10" max="10" width="14.33203125" bestFit="1" customWidth="1"/>
    <col min="11" max="11" width="22" style="51" bestFit="1" customWidth="1"/>
  </cols>
  <sheetData>
    <row r="1" spans="1:11" x14ac:dyDescent="0.3">
      <c r="A1" s="38" t="s">
        <v>31</v>
      </c>
      <c r="B1" s="41" t="s">
        <v>15</v>
      </c>
      <c r="C1" s="42" t="s">
        <v>16</v>
      </c>
      <c r="D1" s="43" t="s">
        <v>17</v>
      </c>
      <c r="E1" s="44" t="s">
        <v>18</v>
      </c>
      <c r="F1" s="31" t="s">
        <v>36</v>
      </c>
      <c r="G1" s="37" t="s">
        <v>37</v>
      </c>
      <c r="H1" s="37" t="s">
        <v>38</v>
      </c>
      <c r="I1" s="37" t="s">
        <v>39</v>
      </c>
      <c r="J1" s="52" t="s">
        <v>40</v>
      </c>
      <c r="K1" s="55" t="s">
        <v>41</v>
      </c>
    </row>
    <row r="2" spans="1:11" x14ac:dyDescent="0.3">
      <c r="E2" s="44"/>
      <c r="F2" s="29"/>
      <c r="G2" s="35"/>
      <c r="H2" s="36"/>
      <c r="I2" s="32"/>
      <c r="J2" s="53"/>
      <c r="K2" s="56"/>
    </row>
    <row r="3" spans="1:11" x14ac:dyDescent="0.3">
      <c r="A3" s="40"/>
      <c r="E3" s="44"/>
      <c r="F3" s="29"/>
      <c r="G3" s="32"/>
      <c r="H3" s="32"/>
      <c r="I3" s="32"/>
      <c r="J3" s="53"/>
      <c r="K3" s="56"/>
    </row>
    <row r="4" spans="1:11" x14ac:dyDescent="0.3">
      <c r="A4" s="40"/>
      <c r="E4" s="44"/>
      <c r="F4" s="29"/>
      <c r="G4" s="32"/>
      <c r="H4" s="32"/>
      <c r="I4" s="32"/>
      <c r="J4" s="53"/>
      <c r="K4" s="56"/>
    </row>
    <row r="5" spans="1:11" x14ac:dyDescent="0.3">
      <c r="A5" s="40"/>
      <c r="E5" s="44"/>
      <c r="F5" s="29"/>
      <c r="G5" s="32"/>
      <c r="H5" s="32"/>
      <c r="I5" s="32"/>
      <c r="J5" s="53"/>
      <c r="K5" s="56"/>
    </row>
    <row r="6" spans="1:11" x14ac:dyDescent="0.3">
      <c r="A6" s="40"/>
      <c r="E6" s="44"/>
      <c r="F6" s="29"/>
      <c r="G6" s="32"/>
      <c r="H6" s="32"/>
      <c r="I6" s="32"/>
      <c r="J6" s="53"/>
      <c r="K6" s="56"/>
    </row>
    <row r="7" spans="1:11" x14ac:dyDescent="0.3">
      <c r="A7" s="40"/>
      <c r="E7" s="44"/>
      <c r="F7" s="29"/>
      <c r="G7" s="32"/>
      <c r="H7" s="32"/>
      <c r="I7" s="32"/>
      <c r="J7" s="53"/>
      <c r="K7" s="56"/>
    </row>
    <row r="8" spans="1:11" x14ac:dyDescent="0.3">
      <c r="A8" s="40"/>
      <c r="E8" s="44"/>
      <c r="F8" s="29"/>
      <c r="G8" s="32"/>
      <c r="H8" s="32"/>
      <c r="I8" s="32"/>
      <c r="J8" s="53"/>
      <c r="K8" s="56"/>
    </row>
    <row r="9" spans="1:11" x14ac:dyDescent="0.3">
      <c r="A9" s="40"/>
      <c r="E9" s="44"/>
      <c r="F9" s="29"/>
      <c r="G9" s="32"/>
      <c r="H9" s="32"/>
      <c r="I9" s="32"/>
      <c r="J9" s="53"/>
      <c r="K9" s="56"/>
    </row>
    <row r="10" spans="1:11" x14ac:dyDescent="0.3">
      <c r="A10" s="40"/>
      <c r="E10" s="44"/>
      <c r="F10" s="29"/>
      <c r="G10" s="32"/>
      <c r="H10" s="32"/>
      <c r="I10" s="32"/>
      <c r="J10" s="53"/>
      <c r="K10" s="56"/>
    </row>
    <row r="11" spans="1:11" x14ac:dyDescent="0.3">
      <c r="A11" s="40"/>
      <c r="E11" s="44"/>
      <c r="F11" s="29"/>
      <c r="G11" s="32"/>
      <c r="H11" s="32"/>
      <c r="I11" s="32"/>
      <c r="J11" s="53"/>
      <c r="K11" s="56"/>
    </row>
    <row r="12" spans="1:11" x14ac:dyDescent="0.3">
      <c r="A12" s="40"/>
      <c r="E12" s="44"/>
      <c r="F12" s="29"/>
      <c r="G12" s="32"/>
      <c r="H12" s="32"/>
      <c r="I12" s="32"/>
      <c r="J12" s="53"/>
      <c r="K12" s="56"/>
    </row>
    <row r="13" spans="1:11" x14ac:dyDescent="0.3">
      <c r="A13" s="40"/>
      <c r="E13" s="44"/>
      <c r="F13" s="29"/>
      <c r="G13" s="32"/>
      <c r="H13" s="32"/>
      <c r="I13" s="32"/>
      <c r="J13" s="53"/>
      <c r="K13" s="56"/>
    </row>
    <row r="14" spans="1:11" x14ac:dyDescent="0.3">
      <c r="A14" s="40"/>
      <c r="E14" s="44"/>
      <c r="F14" s="29"/>
      <c r="G14" s="32"/>
      <c r="H14" s="32"/>
      <c r="I14" s="32"/>
      <c r="J14" s="53"/>
      <c r="K14" s="56"/>
    </row>
    <row r="15" spans="1:11" x14ac:dyDescent="0.3">
      <c r="A15" s="40"/>
      <c r="E15" s="44"/>
      <c r="F15" s="29"/>
      <c r="G15" s="32"/>
      <c r="H15" s="32"/>
      <c r="I15" s="32"/>
      <c r="J15" s="53"/>
      <c r="K15" s="56"/>
    </row>
    <row r="16" spans="1:11" x14ac:dyDescent="0.3">
      <c r="A16" s="40"/>
      <c r="E16" s="44"/>
      <c r="F16" s="29"/>
      <c r="G16" s="32"/>
      <c r="H16" s="32"/>
      <c r="I16" s="32"/>
      <c r="J16" s="53"/>
      <c r="K16" s="56"/>
    </row>
    <row r="17" spans="1:11" x14ac:dyDescent="0.3">
      <c r="A17" s="40"/>
      <c r="E17" s="44"/>
      <c r="F17" s="29"/>
      <c r="G17" s="35"/>
      <c r="H17" s="34"/>
      <c r="I17" s="32"/>
      <c r="J17" s="53"/>
      <c r="K17" s="56"/>
    </row>
    <row r="18" spans="1:11" x14ac:dyDescent="0.3">
      <c r="A18" s="40"/>
      <c r="E18" s="44"/>
      <c r="F18" s="29"/>
      <c r="G18" s="32"/>
      <c r="H18" s="32"/>
      <c r="I18" s="32"/>
      <c r="J18" s="53"/>
      <c r="K18" s="56"/>
    </row>
    <row r="19" spans="1:11" x14ac:dyDescent="0.3">
      <c r="A19" s="40"/>
      <c r="E19" s="44"/>
      <c r="F19" s="29"/>
      <c r="G19" s="32"/>
      <c r="H19" s="32"/>
      <c r="I19" s="32"/>
      <c r="J19" s="53"/>
      <c r="K19" s="56"/>
    </row>
    <row r="20" spans="1:11" x14ac:dyDescent="0.3">
      <c r="A20" s="40"/>
      <c r="E20" s="44"/>
      <c r="F20" s="29"/>
      <c r="G20" s="32"/>
      <c r="H20" s="32"/>
      <c r="I20" s="32"/>
      <c r="J20" s="53"/>
      <c r="K20" s="56"/>
    </row>
    <row r="21" spans="1:11" x14ac:dyDescent="0.3">
      <c r="A21" s="40"/>
      <c r="E21" s="44"/>
      <c r="F21" s="29"/>
      <c r="G21" s="32"/>
      <c r="H21" s="32"/>
      <c r="I21" s="32"/>
      <c r="J21" s="53"/>
      <c r="K21" s="56"/>
    </row>
    <row r="22" spans="1:11" x14ac:dyDescent="0.3">
      <c r="A22" s="40"/>
      <c r="E22" s="44"/>
      <c r="F22" s="29"/>
      <c r="G22" s="32"/>
      <c r="H22" s="32"/>
      <c r="I22" s="32"/>
      <c r="J22" s="53"/>
      <c r="K22" s="56"/>
    </row>
    <row r="23" spans="1:11" x14ac:dyDescent="0.3">
      <c r="A23" s="40"/>
      <c r="E23" s="44"/>
      <c r="F23" s="29"/>
      <c r="G23" s="32"/>
      <c r="H23" s="32"/>
      <c r="I23" s="32"/>
      <c r="J23" s="53"/>
      <c r="K23" s="56"/>
    </row>
    <row r="24" spans="1:11" x14ac:dyDescent="0.3">
      <c r="A24" s="40"/>
      <c r="E24" s="44"/>
      <c r="F24" s="29"/>
      <c r="G24" s="32"/>
      <c r="H24" s="32"/>
      <c r="I24" s="32"/>
      <c r="J24" s="53"/>
      <c r="K24" s="56"/>
    </row>
    <row r="25" spans="1:11" x14ac:dyDescent="0.3">
      <c r="A25" s="40"/>
      <c r="E25" s="44"/>
      <c r="F25" s="29"/>
      <c r="G25" s="32"/>
      <c r="H25" s="32"/>
      <c r="I25" s="32"/>
      <c r="J25" s="53"/>
      <c r="K25" s="56"/>
    </row>
    <row r="26" spans="1:11" x14ac:dyDescent="0.3">
      <c r="A26" s="40"/>
      <c r="E26" s="44"/>
      <c r="F26" s="29"/>
      <c r="G26" s="32"/>
      <c r="H26" s="32"/>
      <c r="I26" s="32"/>
      <c r="J26" s="53"/>
      <c r="K26" s="56"/>
    </row>
    <row r="27" spans="1:11" x14ac:dyDescent="0.3">
      <c r="A27" s="40"/>
      <c r="E27" s="44"/>
      <c r="F27" s="29"/>
      <c r="G27" s="32"/>
      <c r="H27" s="32"/>
      <c r="I27" s="32"/>
      <c r="J27" s="53"/>
      <c r="K27" s="56"/>
    </row>
    <row r="28" spans="1:11" x14ac:dyDescent="0.3">
      <c r="A28" s="40"/>
      <c r="E28" s="44"/>
      <c r="F28" s="29"/>
      <c r="G28" s="32"/>
      <c r="H28" s="32"/>
      <c r="I28" s="32"/>
      <c r="J28" s="53"/>
      <c r="K28" s="56"/>
    </row>
    <row r="29" spans="1:11" x14ac:dyDescent="0.3">
      <c r="A29" s="40"/>
      <c r="E29" s="44"/>
      <c r="F29" s="29"/>
      <c r="G29" s="32"/>
      <c r="H29" s="32"/>
      <c r="I29" s="32"/>
      <c r="J29" s="53"/>
      <c r="K29" s="56"/>
    </row>
    <row r="30" spans="1:11" x14ac:dyDescent="0.3">
      <c r="A30" s="40"/>
      <c r="E30" s="44"/>
      <c r="F30" s="29"/>
      <c r="G30" s="32"/>
      <c r="H30" s="32"/>
      <c r="I30" s="32"/>
      <c r="J30" s="53"/>
      <c r="K30" s="56"/>
    </row>
    <row r="31" spans="1:11" x14ac:dyDescent="0.3">
      <c r="A31" s="40"/>
      <c r="E31" s="44"/>
      <c r="F31" s="29"/>
      <c r="G31" s="32"/>
      <c r="H31" s="32"/>
      <c r="I31" s="32"/>
      <c r="J31" s="53"/>
      <c r="K31" s="56"/>
    </row>
    <row r="32" spans="1:11" x14ac:dyDescent="0.3">
      <c r="A32" s="40"/>
      <c r="E32" s="44"/>
      <c r="F32" s="29"/>
      <c r="G32" s="32"/>
      <c r="H32" s="32"/>
      <c r="I32" s="32"/>
      <c r="J32" s="53"/>
      <c r="K32" s="56"/>
    </row>
    <row r="33" spans="1:11" x14ac:dyDescent="0.3">
      <c r="A33" s="40"/>
      <c r="E33" s="44"/>
      <c r="F33" s="29"/>
      <c r="G33" s="32"/>
      <c r="H33" s="32"/>
      <c r="I33" s="32"/>
      <c r="J33" s="32"/>
      <c r="K33" s="54"/>
    </row>
    <row r="34" spans="1:11" x14ac:dyDescent="0.3">
      <c r="A34" s="40"/>
      <c r="E34" s="44"/>
      <c r="F34" s="29"/>
      <c r="G34" s="32"/>
      <c r="H34" s="32"/>
      <c r="I34" s="32"/>
      <c r="J34" s="32"/>
      <c r="K34" s="50"/>
    </row>
    <row r="35" spans="1:11" x14ac:dyDescent="0.3">
      <c r="A35" s="40"/>
      <c r="E35" s="44"/>
      <c r="F35" s="29"/>
      <c r="G35" s="32"/>
      <c r="H35" s="32"/>
      <c r="I35" s="32"/>
      <c r="J35" s="32"/>
      <c r="K35" s="50"/>
    </row>
    <row r="36" spans="1:11" x14ac:dyDescent="0.3">
      <c r="A36" s="40"/>
      <c r="E36" s="44"/>
      <c r="F36" s="29"/>
      <c r="G36" s="32"/>
      <c r="H36" s="32"/>
      <c r="I36" s="32"/>
      <c r="J36" s="32"/>
      <c r="K36" s="50"/>
    </row>
    <row r="37" spans="1:11" x14ac:dyDescent="0.3">
      <c r="A37" s="40"/>
      <c r="E37" s="44"/>
      <c r="F37" s="29"/>
      <c r="G37" s="32"/>
      <c r="H37" s="32"/>
      <c r="I37" s="32"/>
      <c r="J37" s="32"/>
      <c r="K37" s="50"/>
    </row>
    <row r="38" spans="1:11" x14ac:dyDescent="0.3">
      <c r="A38" s="40"/>
      <c r="E38" s="44"/>
      <c r="F38" s="29"/>
      <c r="G38" s="32"/>
      <c r="H38" s="32"/>
      <c r="I38" s="32"/>
      <c r="J38" s="32"/>
      <c r="K38" s="50"/>
    </row>
    <row r="39" spans="1:11" x14ac:dyDescent="0.3">
      <c r="A39" s="40"/>
      <c r="E39" s="44"/>
      <c r="F39" s="29"/>
      <c r="G39" s="32"/>
      <c r="H39" s="32"/>
      <c r="I39" s="32"/>
      <c r="J39" s="32"/>
    </row>
    <row r="40" spans="1:11" x14ac:dyDescent="0.3">
      <c r="A40" s="40"/>
      <c r="E40" s="44"/>
      <c r="F40" s="29"/>
      <c r="G40" s="32"/>
      <c r="H40" s="32"/>
      <c r="I40" s="32"/>
      <c r="J40" s="32"/>
    </row>
    <row r="41" spans="1:11" x14ac:dyDescent="0.3">
      <c r="A41" s="40"/>
      <c r="E41" s="44"/>
      <c r="F41" s="29"/>
      <c r="G41" s="32"/>
      <c r="H41" s="32"/>
      <c r="I41" s="32"/>
      <c r="J41" s="32"/>
    </row>
    <row r="42" spans="1:11" x14ac:dyDescent="0.3">
      <c r="A42" s="40"/>
      <c r="E42" s="44"/>
      <c r="F42" s="29"/>
      <c r="G42" s="32"/>
      <c r="H42" s="32"/>
      <c r="I42" s="32"/>
      <c r="J42" s="32"/>
    </row>
    <row r="43" spans="1:11" x14ac:dyDescent="0.3">
      <c r="A43" s="40"/>
      <c r="E43" s="44"/>
      <c r="F43" s="29"/>
      <c r="G43" s="32"/>
      <c r="H43" s="32"/>
      <c r="I43" s="32"/>
      <c r="J43" s="32"/>
    </row>
    <row r="44" spans="1:11" x14ac:dyDescent="0.3">
      <c r="A44" s="40"/>
      <c r="E44" s="44"/>
      <c r="F44" s="29"/>
      <c r="G44" s="32"/>
      <c r="H44" s="32"/>
      <c r="I44" s="32"/>
      <c r="J44" s="32"/>
    </row>
    <row r="45" spans="1:11" x14ac:dyDescent="0.3">
      <c r="A45" s="40"/>
      <c r="E45" s="44"/>
      <c r="F45" s="29"/>
      <c r="G45" s="32"/>
      <c r="H45" s="32"/>
      <c r="I45" s="32"/>
      <c r="J45" s="32"/>
    </row>
    <row r="46" spans="1:11" x14ac:dyDescent="0.3">
      <c r="A46" s="40"/>
      <c r="E46" s="44"/>
      <c r="F46" s="29"/>
      <c r="G46" s="32"/>
      <c r="H46" s="32"/>
      <c r="I46" s="32"/>
      <c r="J46" s="32"/>
    </row>
    <row r="47" spans="1:11" x14ac:dyDescent="0.3">
      <c r="A47" s="40"/>
      <c r="E47" s="44"/>
      <c r="F47" s="29"/>
      <c r="G47" s="32"/>
      <c r="H47" s="32"/>
      <c r="I47" s="32"/>
      <c r="J47" s="32"/>
    </row>
    <row r="48" spans="1:11" x14ac:dyDescent="0.3">
      <c r="A48" s="40"/>
      <c r="E48" s="44"/>
      <c r="F48" s="29"/>
      <c r="G48" s="32"/>
      <c r="H48" s="32"/>
      <c r="I48" s="32"/>
    </row>
    <row r="49" spans="1:9" x14ac:dyDescent="0.3">
      <c r="A49" s="40"/>
      <c r="E49" s="44"/>
      <c r="F49" s="29"/>
      <c r="G49" s="32"/>
      <c r="H49" s="32"/>
      <c r="I49" s="32"/>
    </row>
    <row r="50" spans="1:9" x14ac:dyDescent="0.3">
      <c r="A50" s="40"/>
      <c r="E50" s="44"/>
      <c r="F50" s="29"/>
      <c r="G50" s="32"/>
      <c r="H50" s="32"/>
      <c r="I50" s="32"/>
    </row>
    <row r="51" spans="1:9" x14ac:dyDescent="0.3">
      <c r="A51" s="40"/>
      <c r="E51" s="44"/>
      <c r="F51" s="29"/>
      <c r="G51" s="32"/>
      <c r="H51" s="32"/>
      <c r="I51" s="32"/>
    </row>
    <row r="52" spans="1:9" x14ac:dyDescent="0.3">
      <c r="A52" s="40"/>
      <c r="E52" s="44"/>
      <c r="F52" s="29"/>
      <c r="G52" s="32"/>
      <c r="H52" s="32"/>
      <c r="I52" s="32"/>
    </row>
    <row r="53" spans="1:9" x14ac:dyDescent="0.3">
      <c r="A53" s="40"/>
      <c r="E53" s="44"/>
      <c r="F53" s="29"/>
      <c r="G53" s="32"/>
      <c r="H53" s="32"/>
      <c r="I53" s="32"/>
    </row>
    <row r="54" spans="1:9" x14ac:dyDescent="0.3">
      <c r="A54" s="40"/>
      <c r="E54" s="44"/>
      <c r="F54" s="29"/>
      <c r="G54" s="32"/>
      <c r="H54" s="32"/>
      <c r="I54" s="32"/>
    </row>
    <row r="55" spans="1:9" x14ac:dyDescent="0.3">
      <c r="A55" s="40"/>
      <c r="E55" s="44"/>
      <c r="F55" s="29"/>
      <c r="G55" s="32"/>
      <c r="H55" s="32"/>
      <c r="I55" s="32"/>
    </row>
    <row r="56" spans="1:9" x14ac:dyDescent="0.3">
      <c r="A56" s="40"/>
      <c r="E56" s="44"/>
      <c r="F56" s="29"/>
      <c r="G56" s="32"/>
      <c r="H56" s="32"/>
      <c r="I56" s="32"/>
    </row>
    <row r="57" spans="1:9" x14ac:dyDescent="0.3">
      <c r="A57" s="40"/>
      <c r="E57" s="44"/>
      <c r="F57" s="29"/>
      <c r="G57" s="32"/>
      <c r="H57" s="32"/>
      <c r="I57" s="32"/>
    </row>
    <row r="58" spans="1:9" x14ac:dyDescent="0.3">
      <c r="A58" s="40"/>
      <c r="E58" s="44"/>
      <c r="F58" s="29"/>
      <c r="G58" s="32"/>
      <c r="H58" s="32"/>
      <c r="I58" s="32"/>
    </row>
    <row r="59" spans="1:9" x14ac:dyDescent="0.3">
      <c r="A59" s="40"/>
      <c r="E59" s="44"/>
      <c r="F59" s="29"/>
      <c r="G59" s="32"/>
      <c r="H59" s="32"/>
      <c r="I59" s="32"/>
    </row>
    <row r="60" spans="1:9" x14ac:dyDescent="0.3">
      <c r="A60" s="40"/>
      <c r="E60" s="44"/>
      <c r="F60" s="29"/>
      <c r="G60" s="32"/>
      <c r="H60" s="32"/>
      <c r="I60" s="32"/>
    </row>
    <row r="61" spans="1:9" x14ac:dyDescent="0.3">
      <c r="A61" s="40"/>
      <c r="E61" s="44"/>
      <c r="F61" s="29"/>
      <c r="G61" s="32"/>
      <c r="H61" s="32"/>
      <c r="I61" s="32"/>
    </row>
    <row r="62" spans="1:9" x14ac:dyDescent="0.3">
      <c r="A62" s="40"/>
      <c r="E62" s="44"/>
      <c r="F62" s="29"/>
      <c r="G62" s="32"/>
      <c r="H62" s="32"/>
      <c r="I62" s="32"/>
    </row>
    <row r="63" spans="1:9" x14ac:dyDescent="0.3">
      <c r="A63" s="40"/>
      <c r="E63" s="44"/>
      <c r="F63" s="29"/>
      <c r="G63" s="32"/>
      <c r="H63" s="32"/>
      <c r="I63" s="32"/>
    </row>
    <row r="64" spans="1:9" x14ac:dyDescent="0.3">
      <c r="A64" s="40"/>
      <c r="E64" s="44"/>
      <c r="F64" s="29"/>
      <c r="G64" s="32"/>
      <c r="H64" s="32"/>
      <c r="I64" s="32"/>
    </row>
    <row r="65" spans="1:9" x14ac:dyDescent="0.3">
      <c r="A65" s="40"/>
      <c r="E65" s="44"/>
      <c r="F65" s="29"/>
      <c r="G65" s="32"/>
      <c r="H65" s="32"/>
      <c r="I65" s="32"/>
    </row>
    <row r="66" spans="1:9" x14ac:dyDescent="0.3">
      <c r="A66" s="40"/>
      <c r="E66" s="44"/>
      <c r="F66" s="29"/>
      <c r="G66" s="32"/>
      <c r="H66" s="32"/>
      <c r="I66" s="32"/>
    </row>
    <row r="67" spans="1:9" x14ac:dyDescent="0.3">
      <c r="A67" s="40"/>
      <c r="E67" s="44"/>
      <c r="F67" s="29"/>
      <c r="G67" s="32"/>
      <c r="H67" s="32"/>
      <c r="I67" s="32"/>
    </row>
    <row r="68" spans="1:9" x14ac:dyDescent="0.3">
      <c r="A68" s="40"/>
      <c r="E68" s="44"/>
      <c r="F68" s="29"/>
      <c r="G68" s="32"/>
      <c r="H68" s="32"/>
      <c r="I68" s="32"/>
    </row>
    <row r="69" spans="1:9" x14ac:dyDescent="0.3">
      <c r="A69" s="40"/>
      <c r="E69" s="44"/>
      <c r="F69" s="29"/>
      <c r="G69" s="32"/>
      <c r="H69" s="32"/>
      <c r="I69" s="32"/>
    </row>
    <row r="70" spans="1:9" x14ac:dyDescent="0.3">
      <c r="A70" s="40"/>
      <c r="E70" s="44"/>
      <c r="F70" s="29"/>
      <c r="G70" s="32"/>
      <c r="H70" s="32"/>
      <c r="I70" s="32"/>
    </row>
    <row r="71" spans="1:9" x14ac:dyDescent="0.3">
      <c r="A71" s="40"/>
      <c r="E71" s="44"/>
      <c r="F71" s="29"/>
      <c r="G71" s="32"/>
      <c r="H71" s="32"/>
      <c r="I71" s="32"/>
    </row>
    <row r="72" spans="1:9" x14ac:dyDescent="0.3">
      <c r="A72" s="40"/>
      <c r="E72" s="44"/>
      <c r="F72" s="29"/>
      <c r="G72" s="32"/>
      <c r="H72" s="32"/>
      <c r="I72" s="32"/>
    </row>
    <row r="73" spans="1:9" x14ac:dyDescent="0.3">
      <c r="A73" s="40"/>
      <c r="E73" s="44"/>
      <c r="F73" s="29"/>
      <c r="G73" s="32"/>
      <c r="H73" s="32"/>
      <c r="I73" s="32"/>
    </row>
    <row r="74" spans="1:9" x14ac:dyDescent="0.3">
      <c r="A74" s="40"/>
      <c r="E74" s="44"/>
      <c r="F74" s="29"/>
      <c r="G74" s="32"/>
      <c r="H74" s="32"/>
      <c r="I74" s="32"/>
    </row>
    <row r="75" spans="1:9" x14ac:dyDescent="0.3">
      <c r="A75" s="40"/>
      <c r="E75" s="44"/>
      <c r="F75" s="29"/>
      <c r="G75" s="32"/>
      <c r="H75" s="32"/>
      <c r="I75" s="32"/>
    </row>
    <row r="76" spans="1:9" x14ac:dyDescent="0.3">
      <c r="A76" s="40"/>
      <c r="E76" s="44"/>
      <c r="F76" s="29"/>
      <c r="G76" s="32"/>
      <c r="H76" s="32"/>
      <c r="I76" s="32"/>
    </row>
    <row r="77" spans="1:9" x14ac:dyDescent="0.3">
      <c r="A77" s="40"/>
      <c r="E77" s="44"/>
      <c r="F77" s="29"/>
      <c r="G77" s="32"/>
      <c r="H77" s="32"/>
      <c r="I77" s="32"/>
    </row>
    <row r="78" spans="1:9" x14ac:dyDescent="0.3">
      <c r="A78" s="40"/>
      <c r="E78" s="44"/>
      <c r="F78" s="29"/>
      <c r="G78" s="32"/>
      <c r="H78" s="32"/>
      <c r="I78" s="32"/>
    </row>
    <row r="79" spans="1:9" x14ac:dyDescent="0.3">
      <c r="A79" s="40"/>
      <c r="E79" s="44"/>
      <c r="F79" s="29"/>
      <c r="G79" s="32"/>
      <c r="H79" s="32"/>
      <c r="I79" s="32"/>
    </row>
    <row r="80" spans="1:9" x14ac:dyDescent="0.3">
      <c r="A80" s="40"/>
      <c r="E80" s="44"/>
      <c r="F80" s="29"/>
      <c r="G80" s="32"/>
      <c r="H80" s="32"/>
      <c r="I80" s="32"/>
    </row>
    <row r="81" spans="1:9" x14ac:dyDescent="0.3">
      <c r="A81" s="40"/>
      <c r="E81" s="44"/>
      <c r="F81" s="29"/>
      <c r="G81" s="32"/>
      <c r="H81" s="32"/>
      <c r="I81" s="32"/>
    </row>
    <row r="82" spans="1:9" x14ac:dyDescent="0.3">
      <c r="A82" s="40"/>
      <c r="E82" s="44"/>
      <c r="F82" s="29"/>
      <c r="G82" s="32"/>
      <c r="H82" s="32"/>
      <c r="I82" s="32"/>
    </row>
    <row r="83" spans="1:9" x14ac:dyDescent="0.3">
      <c r="A83" s="40"/>
      <c r="E83" s="44"/>
      <c r="F83" s="29"/>
      <c r="G83" s="32"/>
      <c r="H83" s="32"/>
      <c r="I83" s="32"/>
    </row>
    <row r="84" spans="1:9" x14ac:dyDescent="0.3">
      <c r="A84" s="40"/>
      <c r="E84" s="44"/>
      <c r="F84" s="29"/>
      <c r="G84" s="32"/>
      <c r="H84" s="32"/>
      <c r="I84" s="32"/>
    </row>
    <row r="85" spans="1:9" x14ac:dyDescent="0.3">
      <c r="A85" s="40"/>
      <c r="E85" s="44"/>
      <c r="F85" s="29"/>
      <c r="G85" s="32"/>
      <c r="H85" s="32"/>
      <c r="I85" s="32"/>
    </row>
    <row r="86" spans="1:9" x14ac:dyDescent="0.3">
      <c r="A86" s="40"/>
      <c r="E86" s="44"/>
      <c r="F86" s="29"/>
      <c r="G86" s="32"/>
      <c r="H86" s="32"/>
      <c r="I86" s="32"/>
    </row>
    <row r="87" spans="1:9" x14ac:dyDescent="0.3">
      <c r="A87" s="40"/>
      <c r="E87" s="44"/>
      <c r="F87" s="29"/>
      <c r="G87" s="32"/>
      <c r="H87" s="32"/>
      <c r="I87" s="32"/>
    </row>
    <row r="88" spans="1:9" x14ac:dyDescent="0.3">
      <c r="A88" s="40"/>
      <c r="E88" s="44"/>
      <c r="F88" s="29"/>
      <c r="G88" s="32"/>
      <c r="H88" s="32"/>
      <c r="I88" s="32"/>
    </row>
    <row r="89" spans="1:9" x14ac:dyDescent="0.3">
      <c r="A89" s="40"/>
      <c r="E89" s="44"/>
      <c r="F89" s="29"/>
      <c r="G89" s="32"/>
      <c r="H89" s="32"/>
      <c r="I89" s="32"/>
    </row>
    <row r="90" spans="1:9" x14ac:dyDescent="0.3">
      <c r="A90" s="40"/>
      <c r="E90" s="44"/>
      <c r="F90" s="29"/>
      <c r="G90" s="32"/>
      <c r="H90" s="32"/>
      <c r="I90" s="32"/>
    </row>
    <row r="91" spans="1:9" x14ac:dyDescent="0.3">
      <c r="A91" s="40"/>
      <c r="E91" s="44"/>
      <c r="F91" s="29"/>
      <c r="G91" s="32"/>
      <c r="H91" s="32"/>
      <c r="I91" s="32"/>
    </row>
    <row r="92" spans="1:9" x14ac:dyDescent="0.3">
      <c r="A92" s="40"/>
      <c r="E92" s="44"/>
      <c r="F92" s="29"/>
      <c r="G92" s="32"/>
      <c r="H92" s="32"/>
      <c r="I92" s="32"/>
    </row>
    <row r="93" spans="1:9" x14ac:dyDescent="0.3">
      <c r="A93" s="40"/>
      <c r="E93" s="44"/>
      <c r="F93" s="29"/>
      <c r="G93" s="32"/>
      <c r="H93" s="32"/>
      <c r="I93" s="32"/>
    </row>
    <row r="94" spans="1:9" x14ac:dyDescent="0.3">
      <c r="A94" s="40"/>
      <c r="E94" s="44"/>
      <c r="F94" s="29"/>
      <c r="G94" s="32"/>
      <c r="H94" s="32"/>
      <c r="I94" s="32"/>
    </row>
    <row r="95" spans="1:9" x14ac:dyDescent="0.3">
      <c r="A95" s="40"/>
      <c r="E95" s="44"/>
      <c r="F95" s="29"/>
      <c r="G95" s="32"/>
      <c r="H95" s="32"/>
      <c r="I95" s="32"/>
    </row>
    <row r="96" spans="1:9" x14ac:dyDescent="0.3">
      <c r="A96" s="40"/>
      <c r="E96" s="44"/>
      <c r="F96" s="29"/>
      <c r="G96" s="32"/>
      <c r="H96" s="32"/>
      <c r="I96" s="32"/>
    </row>
    <row r="97" spans="1:9" x14ac:dyDescent="0.3">
      <c r="A97" s="40"/>
      <c r="E97" s="44"/>
      <c r="F97" s="29"/>
      <c r="G97" s="32"/>
      <c r="H97" s="32"/>
      <c r="I97" s="32"/>
    </row>
    <row r="98" spans="1:9" x14ac:dyDescent="0.3">
      <c r="A98" s="40"/>
      <c r="E98" s="44"/>
      <c r="F98" s="29"/>
      <c r="G98" s="32"/>
      <c r="H98" s="32"/>
      <c r="I98" s="32"/>
    </row>
    <row r="99" spans="1:9" x14ac:dyDescent="0.3">
      <c r="A99" s="40"/>
      <c r="E99" s="44"/>
      <c r="F99" s="29"/>
      <c r="G99" s="32"/>
      <c r="H99" s="32"/>
      <c r="I99" s="32"/>
    </row>
    <row r="100" spans="1:9" x14ac:dyDescent="0.3">
      <c r="A100" s="40"/>
      <c r="E100" s="44"/>
      <c r="F100" s="29"/>
      <c r="G100" s="32"/>
      <c r="H100" s="32"/>
      <c r="I100" s="32"/>
    </row>
    <row r="101" spans="1:9" x14ac:dyDescent="0.3">
      <c r="A101" s="40"/>
      <c r="E101" s="44"/>
      <c r="F101" s="29"/>
      <c r="G101" s="32"/>
      <c r="H101" s="32"/>
      <c r="I101" s="32"/>
    </row>
    <row r="102" spans="1:9" x14ac:dyDescent="0.3">
      <c r="A102" s="40"/>
      <c r="E102" s="44"/>
      <c r="F102" s="29"/>
      <c r="G102" s="32"/>
      <c r="H102" s="32"/>
      <c r="I102" s="32"/>
    </row>
    <row r="103" spans="1:9" x14ac:dyDescent="0.3">
      <c r="A103" s="40"/>
      <c r="E103" s="44"/>
      <c r="F103" s="29"/>
      <c r="G103" s="32"/>
      <c r="H103" s="32"/>
      <c r="I103" s="32"/>
    </row>
    <row r="104" spans="1:9" x14ac:dyDescent="0.3">
      <c r="A104" s="40"/>
      <c r="E104" s="44"/>
      <c r="F104" s="29"/>
      <c r="G104" s="32"/>
      <c r="H104" s="32"/>
      <c r="I104" s="32"/>
    </row>
    <row r="105" spans="1:9" x14ac:dyDescent="0.3">
      <c r="A105" s="40"/>
      <c r="E105" s="44"/>
      <c r="F105" s="29"/>
      <c r="G105" s="32"/>
      <c r="H105" s="32"/>
      <c r="I105" s="32"/>
    </row>
    <row r="106" spans="1:9" x14ac:dyDescent="0.3">
      <c r="A106" s="40"/>
      <c r="E106" s="44"/>
      <c r="F106" s="29"/>
      <c r="G106" s="32"/>
      <c r="H106" s="32"/>
      <c r="I106" s="32"/>
    </row>
    <row r="107" spans="1:9" x14ac:dyDescent="0.3">
      <c r="A107" s="40"/>
      <c r="E107" s="44"/>
      <c r="F107" s="29"/>
      <c r="G107" s="32"/>
      <c r="H107" s="32"/>
      <c r="I107" s="32"/>
    </row>
    <row r="108" spans="1:9" x14ac:dyDescent="0.3">
      <c r="A108" s="40"/>
      <c r="E108" s="44"/>
      <c r="F108" s="29"/>
      <c r="G108" s="32"/>
      <c r="H108" s="32"/>
      <c r="I108" s="32"/>
    </row>
    <row r="109" spans="1:9" x14ac:dyDescent="0.3">
      <c r="A109" s="40"/>
      <c r="E109" s="44"/>
      <c r="F109" s="29"/>
      <c r="G109" s="32"/>
      <c r="H109" s="32"/>
      <c r="I109" s="32"/>
    </row>
    <row r="110" spans="1:9" x14ac:dyDescent="0.3">
      <c r="A110" s="40"/>
      <c r="E110" s="44"/>
      <c r="F110" s="29"/>
      <c r="G110" s="32"/>
      <c r="H110" s="32"/>
      <c r="I110" s="32"/>
    </row>
    <row r="111" spans="1:9" x14ac:dyDescent="0.3">
      <c r="A111" s="40"/>
      <c r="E111" s="44"/>
      <c r="F111" s="29"/>
      <c r="G111" s="32"/>
      <c r="H111" s="32"/>
      <c r="I111" s="32"/>
    </row>
    <row r="112" spans="1:9" x14ac:dyDescent="0.3">
      <c r="A112" s="40"/>
      <c r="E112" s="44"/>
      <c r="F112" s="29"/>
      <c r="G112" s="32"/>
      <c r="H112" s="32"/>
      <c r="I112" s="32"/>
    </row>
    <row r="113" spans="1:9" x14ac:dyDescent="0.3">
      <c r="A113" s="40"/>
      <c r="E113" s="44"/>
      <c r="F113" s="29"/>
      <c r="G113" s="32"/>
      <c r="H113" s="32"/>
      <c r="I113" s="32"/>
    </row>
    <row r="114" spans="1:9" x14ac:dyDescent="0.3">
      <c r="A114" s="40"/>
      <c r="E114" s="44"/>
      <c r="F114" s="29"/>
      <c r="G114" s="32"/>
      <c r="H114" s="32"/>
      <c r="I114" s="32"/>
    </row>
    <row r="115" spans="1:9" x14ac:dyDescent="0.3">
      <c r="A115" s="40"/>
      <c r="E115" s="44"/>
      <c r="F115" s="29"/>
      <c r="G115" s="32"/>
      <c r="H115" s="32"/>
      <c r="I115" s="32"/>
    </row>
    <row r="116" spans="1:9" x14ac:dyDescent="0.3">
      <c r="A116" s="40"/>
      <c r="E116" s="44"/>
      <c r="F116" s="29"/>
      <c r="G116" s="32"/>
      <c r="H116" s="32"/>
      <c r="I116" s="32"/>
    </row>
    <row r="117" spans="1:9" x14ac:dyDescent="0.3">
      <c r="A117" s="40"/>
      <c r="E117" s="44"/>
      <c r="F117" s="29"/>
      <c r="G117" s="32"/>
      <c r="H117" s="32"/>
      <c r="I117" s="32"/>
    </row>
    <row r="118" spans="1:9" x14ac:dyDescent="0.3">
      <c r="A118" s="40"/>
      <c r="E118" s="44"/>
      <c r="F118" s="29"/>
      <c r="G118" s="32"/>
      <c r="H118" s="32"/>
      <c r="I118" s="32"/>
    </row>
    <row r="119" spans="1:9" x14ac:dyDescent="0.3">
      <c r="A119" s="40"/>
      <c r="E119" s="44"/>
      <c r="F119" s="29"/>
      <c r="G119" s="32"/>
      <c r="H119" s="32"/>
      <c r="I119" s="32"/>
    </row>
    <row r="120" spans="1:9" x14ac:dyDescent="0.3">
      <c r="A120" s="40"/>
      <c r="E120" s="44"/>
      <c r="F120" s="29"/>
      <c r="G120" s="32"/>
      <c r="H120" s="32"/>
      <c r="I120" s="32"/>
    </row>
    <row r="121" spans="1:9" x14ac:dyDescent="0.3">
      <c r="A121" s="40"/>
      <c r="E121" s="44"/>
      <c r="F121" s="29"/>
      <c r="G121" s="32"/>
      <c r="H121" s="32"/>
      <c r="I121" s="32"/>
    </row>
    <row r="122" spans="1:9" x14ac:dyDescent="0.3">
      <c r="A122" s="40"/>
      <c r="E122" s="44"/>
      <c r="F122" s="29"/>
      <c r="G122" s="32"/>
      <c r="H122" s="32"/>
      <c r="I122" s="32"/>
    </row>
    <row r="123" spans="1:9" x14ac:dyDescent="0.3">
      <c r="A123" s="40"/>
      <c r="E123" s="44"/>
      <c r="F123" s="29"/>
      <c r="G123" s="32"/>
      <c r="H123" s="32"/>
      <c r="I123" s="32"/>
    </row>
    <row r="124" spans="1:9" x14ac:dyDescent="0.3">
      <c r="A124" s="40"/>
      <c r="E124" s="44"/>
      <c r="F124" s="29"/>
      <c r="G124" s="32"/>
      <c r="H124" s="32"/>
      <c r="I124" s="32"/>
    </row>
    <row r="125" spans="1:9" x14ac:dyDescent="0.3">
      <c r="A125" s="40"/>
      <c r="E125" s="44"/>
      <c r="F125" s="29"/>
      <c r="G125" s="32"/>
      <c r="H125" s="32"/>
      <c r="I125" s="32"/>
    </row>
    <row r="126" spans="1:9" x14ac:dyDescent="0.3">
      <c r="A126" s="40"/>
      <c r="E126" s="44"/>
      <c r="F126" s="29"/>
      <c r="G126" s="32"/>
      <c r="H126" s="32"/>
      <c r="I126" s="32"/>
    </row>
    <row r="127" spans="1:9" x14ac:dyDescent="0.3">
      <c r="A127" s="40"/>
      <c r="E127" s="44"/>
      <c r="F127" s="29"/>
      <c r="G127" s="32"/>
      <c r="H127" s="32"/>
      <c r="I127" s="32"/>
    </row>
    <row r="128" spans="1:9" x14ac:dyDescent="0.3">
      <c r="A128" s="40"/>
      <c r="E128" s="44"/>
      <c r="F128" s="29"/>
      <c r="G128" s="32"/>
      <c r="H128" s="32"/>
      <c r="I128" s="32"/>
    </row>
    <row r="129" spans="1:9" x14ac:dyDescent="0.3">
      <c r="A129" s="40"/>
      <c r="E129" s="44"/>
      <c r="F129" s="29"/>
      <c r="G129" s="32"/>
      <c r="H129" s="32"/>
      <c r="I129" s="32"/>
    </row>
    <row r="130" spans="1:9" x14ac:dyDescent="0.3">
      <c r="A130" s="40"/>
      <c r="E130" s="44"/>
      <c r="F130" s="29"/>
      <c r="G130" s="32"/>
      <c r="H130" s="32"/>
      <c r="I130" s="32"/>
    </row>
    <row r="131" spans="1:9" x14ac:dyDescent="0.3">
      <c r="A131" s="40"/>
      <c r="E131" s="44"/>
      <c r="F131" s="29"/>
      <c r="G131" s="32"/>
      <c r="H131" s="32"/>
      <c r="I131" s="32"/>
    </row>
    <row r="132" spans="1:9" x14ac:dyDescent="0.3">
      <c r="A132" s="40"/>
      <c r="E132" s="44"/>
      <c r="F132" s="29"/>
      <c r="G132" s="32"/>
      <c r="H132" s="32"/>
      <c r="I132" s="32"/>
    </row>
    <row r="133" spans="1:9" x14ac:dyDescent="0.3">
      <c r="A133" s="40"/>
      <c r="E133" s="44"/>
      <c r="F133" s="29"/>
      <c r="G133" s="32"/>
      <c r="H133" s="32"/>
      <c r="I133" s="32"/>
    </row>
    <row r="134" spans="1:9" x14ac:dyDescent="0.3">
      <c r="A134" s="40"/>
      <c r="E134" s="44"/>
      <c r="F134" s="29"/>
      <c r="G134" s="32"/>
      <c r="H134" s="32"/>
      <c r="I134" s="32"/>
    </row>
    <row r="135" spans="1:9" x14ac:dyDescent="0.3">
      <c r="A135" s="40"/>
      <c r="E135" s="44"/>
      <c r="F135" s="29"/>
      <c r="G135" s="32"/>
      <c r="H135" s="32"/>
      <c r="I135" s="32"/>
    </row>
    <row r="136" spans="1:9" x14ac:dyDescent="0.3">
      <c r="A136" s="40"/>
      <c r="E136" s="44"/>
      <c r="F136" s="29"/>
      <c r="G136" s="32"/>
      <c r="H136" s="32"/>
      <c r="I136" s="32"/>
    </row>
    <row r="137" spans="1:9" x14ac:dyDescent="0.3">
      <c r="A137" s="40"/>
      <c r="E137" s="44"/>
      <c r="F137" s="29"/>
      <c r="G137" s="32"/>
      <c r="H137" s="32"/>
      <c r="I137" s="32"/>
    </row>
    <row r="138" spans="1:9" x14ac:dyDescent="0.3">
      <c r="A138" s="40"/>
      <c r="E138" s="44"/>
      <c r="F138" s="29"/>
      <c r="G138" s="32"/>
      <c r="H138" s="32"/>
      <c r="I138" s="32"/>
    </row>
    <row r="139" spans="1:9" x14ac:dyDescent="0.3">
      <c r="A139" s="40"/>
      <c r="E139" s="44"/>
      <c r="F139" s="29"/>
      <c r="G139" s="32"/>
      <c r="H139" s="32"/>
      <c r="I139" s="32"/>
    </row>
    <row r="140" spans="1:9" x14ac:dyDescent="0.3">
      <c r="A140" s="40"/>
      <c r="E140" s="44"/>
      <c r="F140" s="29"/>
      <c r="G140" s="32"/>
      <c r="H140" s="32"/>
      <c r="I140" s="32"/>
    </row>
    <row r="141" spans="1:9" x14ac:dyDescent="0.3">
      <c r="A141" s="40"/>
      <c r="E141" s="44"/>
      <c r="F141" s="29"/>
      <c r="G141" s="32"/>
      <c r="H141" s="32"/>
      <c r="I141" s="32"/>
    </row>
    <row r="142" spans="1:9" x14ac:dyDescent="0.3">
      <c r="A142" s="40"/>
      <c r="E142" s="44"/>
      <c r="F142" s="29"/>
      <c r="G142" s="32"/>
      <c r="H142" s="32"/>
      <c r="I142" s="32"/>
    </row>
    <row r="143" spans="1:9" x14ac:dyDescent="0.3">
      <c r="A143" s="40"/>
      <c r="E143" s="44"/>
      <c r="F143" s="29"/>
      <c r="G143" s="32"/>
      <c r="H143" s="32"/>
      <c r="I143" s="32"/>
    </row>
    <row r="144" spans="1:9" x14ac:dyDescent="0.3">
      <c r="A144" s="40"/>
      <c r="E144" s="44"/>
      <c r="F144" s="29"/>
      <c r="G144" s="32"/>
      <c r="H144" s="32"/>
      <c r="I144" s="32"/>
    </row>
    <row r="145" spans="1:9" x14ac:dyDescent="0.3">
      <c r="A145" s="40"/>
      <c r="E145" s="44"/>
      <c r="F145" s="29"/>
      <c r="G145" s="32"/>
      <c r="H145" s="32"/>
      <c r="I145" s="32"/>
    </row>
    <row r="146" spans="1:9" x14ac:dyDescent="0.3">
      <c r="A146" s="40"/>
      <c r="E146" s="44"/>
      <c r="F146" s="29"/>
      <c r="G146" s="32"/>
      <c r="H146" s="32"/>
      <c r="I146" s="32"/>
    </row>
    <row r="147" spans="1:9" x14ac:dyDescent="0.3">
      <c r="A147" s="40"/>
      <c r="E147" s="44"/>
      <c r="F147" s="29"/>
      <c r="G147" s="32"/>
      <c r="H147" s="32"/>
      <c r="I147" s="32"/>
    </row>
    <row r="148" spans="1:9" x14ac:dyDescent="0.3">
      <c r="A148" s="40"/>
      <c r="E148" s="44"/>
      <c r="F148" s="29"/>
      <c r="G148" s="32"/>
      <c r="H148" s="32"/>
      <c r="I148" s="32"/>
    </row>
    <row r="149" spans="1:9" x14ac:dyDescent="0.3">
      <c r="A149" s="40"/>
      <c r="E149" s="44"/>
      <c r="F149" s="29"/>
      <c r="G149" s="32"/>
      <c r="H149" s="32"/>
      <c r="I149" s="32"/>
    </row>
    <row r="150" spans="1:9" x14ac:dyDescent="0.3">
      <c r="A150" s="40"/>
      <c r="E150" s="44"/>
      <c r="F150" s="29"/>
      <c r="G150" s="32"/>
      <c r="H150" s="32"/>
      <c r="I150" s="32"/>
    </row>
    <row r="151" spans="1:9" x14ac:dyDescent="0.3">
      <c r="A151" s="40"/>
      <c r="E151" s="44"/>
      <c r="F151" s="29"/>
      <c r="G151" s="32"/>
      <c r="H151" s="32"/>
      <c r="I151" s="32"/>
    </row>
    <row r="152" spans="1:9" x14ac:dyDescent="0.3">
      <c r="A152" s="40"/>
      <c r="E152" s="44"/>
      <c r="F152" s="29"/>
      <c r="G152" s="32"/>
      <c r="H152" s="32"/>
      <c r="I152" s="32"/>
    </row>
    <row r="153" spans="1:9" x14ac:dyDescent="0.3">
      <c r="A153" s="40"/>
      <c r="E153" s="44"/>
      <c r="F153" s="29"/>
      <c r="G153" s="32"/>
      <c r="H153" s="32"/>
      <c r="I153" s="32"/>
    </row>
    <row r="154" spans="1:9" x14ac:dyDescent="0.3">
      <c r="A154" s="40"/>
      <c r="E154" s="44"/>
      <c r="F154" s="29"/>
      <c r="G154" s="32"/>
      <c r="H154" s="32"/>
      <c r="I154" s="32"/>
    </row>
    <row r="155" spans="1:9" x14ac:dyDescent="0.3">
      <c r="A155" s="40"/>
      <c r="E155" s="44"/>
      <c r="F155" s="29"/>
      <c r="G155" s="32"/>
      <c r="H155" s="32"/>
      <c r="I155" s="32"/>
    </row>
    <row r="156" spans="1:9" x14ac:dyDescent="0.3">
      <c r="A156" s="40"/>
      <c r="E156" s="44"/>
      <c r="F156" s="29"/>
      <c r="G156" s="32"/>
      <c r="H156" s="32"/>
      <c r="I156" s="32"/>
    </row>
    <row r="157" spans="1:9" x14ac:dyDescent="0.3">
      <c r="A157" s="40"/>
      <c r="E157" s="44"/>
      <c r="F157" s="29"/>
      <c r="G157" s="32"/>
      <c r="H157" s="32"/>
      <c r="I157" s="32"/>
    </row>
    <row r="158" spans="1:9" x14ac:dyDescent="0.3">
      <c r="A158" s="40"/>
      <c r="E158" s="44"/>
      <c r="F158" s="29"/>
      <c r="G158" s="32"/>
      <c r="H158" s="32"/>
      <c r="I158" s="32"/>
    </row>
    <row r="159" spans="1:9" x14ac:dyDescent="0.3">
      <c r="A159" s="40"/>
      <c r="E159" s="44"/>
      <c r="F159" s="29"/>
      <c r="G159" s="32"/>
      <c r="H159" s="32"/>
      <c r="I159" s="32"/>
    </row>
    <row r="160" spans="1:9" x14ac:dyDescent="0.3">
      <c r="A160" s="40"/>
      <c r="E160" s="44"/>
      <c r="F160" s="29"/>
      <c r="G160" s="32"/>
      <c r="H160" s="32"/>
      <c r="I160" s="32"/>
    </row>
    <row r="161" spans="1:9" x14ac:dyDescent="0.3">
      <c r="A161" s="40"/>
      <c r="E161" s="44"/>
      <c r="F161" s="29"/>
      <c r="G161" s="32"/>
      <c r="H161" s="32"/>
      <c r="I161" s="32"/>
    </row>
    <row r="162" spans="1:9" x14ac:dyDescent="0.3">
      <c r="A162" s="40"/>
      <c r="E162" s="44"/>
      <c r="F162" s="29"/>
      <c r="G162" s="32"/>
      <c r="H162" s="32"/>
      <c r="I162" s="32"/>
    </row>
    <row r="163" spans="1:9" x14ac:dyDescent="0.3">
      <c r="A163" s="40"/>
      <c r="E163" s="44"/>
      <c r="F163" s="29"/>
      <c r="G163" s="32"/>
      <c r="H163" s="32"/>
      <c r="I163" s="32"/>
    </row>
    <row r="164" spans="1:9" x14ac:dyDescent="0.3">
      <c r="A164" s="40"/>
      <c r="E164" s="44"/>
      <c r="F164" s="29"/>
      <c r="G164" s="32"/>
      <c r="H164" s="32"/>
      <c r="I164" s="32"/>
    </row>
    <row r="165" spans="1:9" x14ac:dyDescent="0.3">
      <c r="A165" s="40"/>
      <c r="E165" s="44"/>
      <c r="F165" s="29"/>
      <c r="G165" s="32"/>
      <c r="H165" s="32"/>
      <c r="I165" s="32"/>
    </row>
    <row r="166" spans="1:9" x14ac:dyDescent="0.3">
      <c r="A166" s="40"/>
      <c r="E166" s="44"/>
      <c r="F166" s="29"/>
      <c r="G166" s="32"/>
      <c r="H166" s="32"/>
      <c r="I166" s="32"/>
    </row>
    <row r="167" spans="1:9" x14ac:dyDescent="0.3">
      <c r="A167" s="40"/>
      <c r="E167" s="44"/>
      <c r="F167" s="29"/>
      <c r="G167" s="32"/>
      <c r="H167" s="32"/>
      <c r="I167" s="32"/>
    </row>
    <row r="168" spans="1:9" x14ac:dyDescent="0.3">
      <c r="A168" s="40"/>
      <c r="E168" s="44"/>
      <c r="F168" s="29"/>
      <c r="G168" s="32"/>
      <c r="H168" s="32"/>
      <c r="I168" s="32"/>
    </row>
    <row r="169" spans="1:9" x14ac:dyDescent="0.3">
      <c r="A169" s="40"/>
      <c r="E169" s="44"/>
      <c r="F169" s="29"/>
      <c r="G169" s="32"/>
      <c r="H169" s="32"/>
      <c r="I169" s="32"/>
    </row>
    <row r="170" spans="1:9" x14ac:dyDescent="0.3">
      <c r="A170" s="40"/>
      <c r="E170" s="44"/>
      <c r="F170" s="29"/>
      <c r="G170" s="32"/>
      <c r="H170" s="32"/>
      <c r="I170" s="32"/>
    </row>
    <row r="171" spans="1:9" x14ac:dyDescent="0.3">
      <c r="A171" s="40"/>
      <c r="E171" s="44"/>
      <c r="F171" s="29"/>
      <c r="G171" s="32"/>
      <c r="H171" s="32"/>
      <c r="I171" s="32"/>
    </row>
    <row r="172" spans="1:9" x14ac:dyDescent="0.3">
      <c r="A172" s="40"/>
      <c r="E172" s="44"/>
      <c r="F172" s="29"/>
      <c r="G172" s="32"/>
      <c r="H172" s="32"/>
      <c r="I172" s="32"/>
    </row>
    <row r="173" spans="1:9" x14ac:dyDescent="0.3">
      <c r="A173" s="40"/>
      <c r="E173" s="44"/>
      <c r="F173" s="46"/>
      <c r="G173" s="47"/>
      <c r="H173" s="47"/>
      <c r="I173" s="47"/>
    </row>
    <row r="174" spans="1:9" x14ac:dyDescent="0.3">
      <c r="A174" s="40"/>
      <c r="F174" s="7"/>
      <c r="G174" s="48"/>
      <c r="H174" s="48"/>
      <c r="I174" s="48"/>
    </row>
    <row r="175" spans="1:9" x14ac:dyDescent="0.3">
      <c r="A175" s="40"/>
      <c r="F175" s="7"/>
      <c r="G175" s="48"/>
      <c r="H175" s="48"/>
      <c r="I175" s="48"/>
    </row>
    <row r="176" spans="1:9" x14ac:dyDescent="0.3">
      <c r="A176" s="40"/>
      <c r="F176" s="7"/>
      <c r="G176" s="48"/>
      <c r="H176" s="48"/>
      <c r="I176" s="48"/>
    </row>
    <row r="177" spans="1:9" x14ac:dyDescent="0.3">
      <c r="A177" s="40"/>
      <c r="F177" s="7"/>
      <c r="G177" s="48"/>
      <c r="H177" s="48"/>
      <c r="I177" s="48"/>
    </row>
    <row r="178" spans="1:9" x14ac:dyDescent="0.3">
      <c r="A178" s="40"/>
      <c r="F178" s="7"/>
      <c r="G178" s="48"/>
      <c r="H178" s="48"/>
      <c r="I178" s="48"/>
    </row>
    <row r="179" spans="1:9" x14ac:dyDescent="0.3">
      <c r="A179" s="40"/>
      <c r="F179" s="7"/>
      <c r="G179" s="48"/>
      <c r="H179" s="48"/>
      <c r="I179" s="48"/>
    </row>
    <row r="180" spans="1:9" x14ac:dyDescent="0.3">
      <c r="A180" s="40"/>
      <c r="F180" s="7"/>
      <c r="G180" s="48"/>
      <c r="H180" s="48"/>
      <c r="I180" s="48"/>
    </row>
    <row r="181" spans="1:9" x14ac:dyDescent="0.3">
      <c r="A181" s="40"/>
      <c r="F181" s="7"/>
      <c r="G181" s="48"/>
      <c r="H181" s="48"/>
      <c r="I181" s="48"/>
    </row>
    <row r="182" spans="1:9" x14ac:dyDescent="0.3">
      <c r="A182" s="40"/>
      <c r="F182" s="7"/>
      <c r="G182" s="48"/>
      <c r="H182" s="48"/>
      <c r="I182" s="48"/>
    </row>
    <row r="183" spans="1:9" x14ac:dyDescent="0.3">
      <c r="A183" s="40"/>
      <c r="F183" s="7"/>
      <c r="G183" s="48"/>
      <c r="H183" s="48"/>
      <c r="I183" s="48"/>
    </row>
    <row r="184" spans="1:9" x14ac:dyDescent="0.3">
      <c r="A184" s="40"/>
      <c r="F184" s="7"/>
      <c r="G184" s="48"/>
      <c r="H184" s="48"/>
      <c r="I184" s="48"/>
    </row>
    <row r="185" spans="1:9" x14ac:dyDescent="0.3">
      <c r="A185" s="40"/>
      <c r="F185" s="7"/>
      <c r="G185" s="48"/>
      <c r="H185" s="48"/>
      <c r="I185" s="48"/>
    </row>
    <row r="186" spans="1:9" x14ac:dyDescent="0.3">
      <c r="A186" s="40"/>
      <c r="F186" s="7"/>
      <c r="G186" s="48"/>
      <c r="H186" s="48"/>
      <c r="I186" s="48"/>
    </row>
    <row r="187" spans="1:9" x14ac:dyDescent="0.3">
      <c r="A187" s="40"/>
      <c r="F187" s="7"/>
      <c r="G187" s="48"/>
      <c r="H187" s="48"/>
      <c r="I187" s="48"/>
    </row>
    <row r="188" spans="1:9" x14ac:dyDescent="0.3">
      <c r="A188" s="40"/>
      <c r="F188" s="7"/>
      <c r="G188" s="48"/>
      <c r="H188" s="48"/>
      <c r="I188" s="48"/>
    </row>
    <row r="189" spans="1:9" x14ac:dyDescent="0.3">
      <c r="A189" s="40"/>
      <c r="F189" s="7"/>
      <c r="G189" s="48"/>
      <c r="H189" s="48"/>
      <c r="I189" s="48"/>
    </row>
    <row r="190" spans="1:9" x14ac:dyDescent="0.3">
      <c r="A190" s="40"/>
      <c r="F190" s="7"/>
      <c r="G190" s="48"/>
      <c r="H190" s="48"/>
      <c r="I190" s="48"/>
    </row>
    <row r="191" spans="1:9" x14ac:dyDescent="0.3">
      <c r="A191" s="40"/>
      <c r="F191" s="7"/>
      <c r="G191" s="48"/>
      <c r="H191" s="48"/>
      <c r="I191" s="48"/>
    </row>
    <row r="192" spans="1:9" x14ac:dyDescent="0.3">
      <c r="A192" s="40"/>
      <c r="F192" s="7"/>
      <c r="G192" s="48"/>
      <c r="H192" s="48"/>
      <c r="I192" s="48"/>
    </row>
    <row r="193" spans="1:9" x14ac:dyDescent="0.3">
      <c r="A193" s="40"/>
      <c r="F193" s="7"/>
      <c r="G193" s="48"/>
      <c r="H193" s="48"/>
      <c r="I193" s="48"/>
    </row>
    <row r="194" spans="1:9" x14ac:dyDescent="0.3">
      <c r="A194" s="40"/>
      <c r="F194" s="7"/>
      <c r="G194" s="48"/>
      <c r="H194" s="48"/>
      <c r="I194" s="48"/>
    </row>
    <row r="195" spans="1:9" x14ac:dyDescent="0.3">
      <c r="A195" s="40"/>
      <c r="F195" s="7"/>
      <c r="G195" s="48"/>
      <c r="H195" s="48"/>
      <c r="I195" s="48"/>
    </row>
    <row r="196" spans="1:9" x14ac:dyDescent="0.3">
      <c r="A196" s="40"/>
      <c r="F196" s="7"/>
      <c r="G196" s="48"/>
      <c r="H196" s="48"/>
      <c r="I196" s="48"/>
    </row>
    <row r="197" spans="1:9" x14ac:dyDescent="0.3">
      <c r="A197" s="40"/>
      <c r="F197" s="7"/>
      <c r="G197" s="48"/>
      <c r="H197" s="48"/>
      <c r="I197" s="48"/>
    </row>
    <row r="198" spans="1:9" x14ac:dyDescent="0.3">
      <c r="A198" s="40"/>
      <c r="F198" s="7"/>
      <c r="G198" s="48"/>
      <c r="H198" s="48"/>
      <c r="I198" s="48"/>
    </row>
    <row r="199" spans="1:9" x14ac:dyDescent="0.3">
      <c r="A199" s="40"/>
      <c r="F199" s="7"/>
      <c r="G199" s="48"/>
      <c r="H199" s="48"/>
      <c r="I199" s="48"/>
    </row>
    <row r="200" spans="1:9" x14ac:dyDescent="0.3">
      <c r="A200" s="40"/>
      <c r="F200" s="7"/>
      <c r="G200" s="48"/>
      <c r="H200" s="48"/>
      <c r="I200" s="48"/>
    </row>
    <row r="201" spans="1:9" x14ac:dyDescent="0.3">
      <c r="A201" s="40"/>
      <c r="F201" s="7"/>
      <c r="G201" s="48"/>
      <c r="H201" s="48"/>
      <c r="I201" s="48"/>
    </row>
    <row r="202" spans="1:9" x14ac:dyDescent="0.3">
      <c r="A202" s="40"/>
      <c r="F202" s="7"/>
      <c r="G202" s="48"/>
      <c r="H202" s="48"/>
      <c r="I202" s="48"/>
    </row>
    <row r="203" spans="1:9" x14ac:dyDescent="0.3">
      <c r="A203" s="40"/>
      <c r="F203" s="7"/>
      <c r="G203" s="48"/>
      <c r="H203" s="48"/>
      <c r="I203" s="48"/>
    </row>
    <row r="204" spans="1:9" x14ac:dyDescent="0.3">
      <c r="A204" s="40"/>
      <c r="F204" s="7"/>
      <c r="G204" s="48"/>
      <c r="H204" s="48"/>
      <c r="I204" s="48"/>
    </row>
    <row r="205" spans="1:9" x14ac:dyDescent="0.3">
      <c r="A205" s="40"/>
      <c r="F205" s="7"/>
      <c r="G205" s="48"/>
      <c r="H205" s="48"/>
      <c r="I205" s="48"/>
    </row>
    <row r="206" spans="1:9" x14ac:dyDescent="0.3">
      <c r="A206" s="40"/>
      <c r="F206" s="7"/>
      <c r="G206" s="48"/>
      <c r="H206" s="48"/>
      <c r="I206" s="48"/>
    </row>
    <row r="207" spans="1:9" x14ac:dyDescent="0.3">
      <c r="A207" s="40"/>
      <c r="F207" s="7"/>
      <c r="G207" s="48"/>
      <c r="H207" s="48"/>
      <c r="I207" s="48"/>
    </row>
    <row r="208" spans="1:9" x14ac:dyDescent="0.3">
      <c r="A208" s="40"/>
      <c r="F208" s="7"/>
      <c r="G208" s="48"/>
      <c r="H208" s="48"/>
      <c r="I208" s="48"/>
    </row>
    <row r="209" spans="1:9" x14ac:dyDescent="0.3">
      <c r="A209" s="40"/>
      <c r="F209" s="7"/>
      <c r="G209" s="48"/>
      <c r="H209" s="48"/>
      <c r="I209" s="48"/>
    </row>
    <row r="210" spans="1:9" x14ac:dyDescent="0.3">
      <c r="A210" s="40"/>
      <c r="F210" s="7"/>
      <c r="G210" s="48"/>
      <c r="H210" s="48"/>
      <c r="I210" s="48"/>
    </row>
    <row r="211" spans="1:9" x14ac:dyDescent="0.3">
      <c r="A211" s="40"/>
      <c r="F211" s="7"/>
      <c r="G211" s="48"/>
      <c r="H211" s="48"/>
      <c r="I211" s="48"/>
    </row>
    <row r="212" spans="1:9" x14ac:dyDescent="0.3">
      <c r="A212" s="40"/>
      <c r="F212" s="7"/>
      <c r="G212" s="48"/>
      <c r="H212" s="48"/>
      <c r="I212" s="48"/>
    </row>
    <row r="213" spans="1:9" x14ac:dyDescent="0.3">
      <c r="A213" s="40"/>
      <c r="F213" s="7"/>
      <c r="G213" s="48"/>
      <c r="H213" s="48"/>
      <c r="I213" s="48"/>
    </row>
    <row r="214" spans="1:9" x14ac:dyDescent="0.3">
      <c r="A214" s="40"/>
      <c r="F214" s="7"/>
      <c r="G214" s="48"/>
      <c r="H214" s="48"/>
      <c r="I214" s="48"/>
    </row>
    <row r="215" spans="1:9" x14ac:dyDescent="0.3">
      <c r="A215" s="40"/>
      <c r="F215" s="7"/>
      <c r="G215" s="48"/>
      <c r="H215" s="48"/>
      <c r="I215" s="48"/>
    </row>
    <row r="216" spans="1:9" x14ac:dyDescent="0.3">
      <c r="A216" s="40"/>
      <c r="F216" s="7"/>
      <c r="G216" s="48"/>
      <c r="H216" s="48"/>
      <c r="I216" s="48"/>
    </row>
    <row r="217" spans="1:9" x14ac:dyDescent="0.3">
      <c r="A217" s="40"/>
      <c r="F217" s="7"/>
      <c r="G217" s="48"/>
      <c r="H217" s="48"/>
      <c r="I217" s="48"/>
    </row>
    <row r="218" spans="1:9" x14ac:dyDescent="0.3">
      <c r="A218" s="40"/>
      <c r="F218" s="7"/>
      <c r="G218" s="48"/>
      <c r="H218" s="48"/>
      <c r="I218" s="48"/>
    </row>
    <row r="219" spans="1:9" x14ac:dyDescent="0.3">
      <c r="A219" s="40"/>
      <c r="F219" s="7"/>
      <c r="G219" s="48"/>
      <c r="H219" s="48"/>
      <c r="I219" s="48"/>
    </row>
    <row r="220" spans="1:9" x14ac:dyDescent="0.3">
      <c r="A220" s="40"/>
      <c r="F220" s="7"/>
      <c r="G220" s="48"/>
      <c r="H220" s="48"/>
      <c r="I220" s="48"/>
    </row>
    <row r="221" spans="1:9" x14ac:dyDescent="0.3">
      <c r="A221" s="40"/>
      <c r="F221" s="7"/>
      <c r="G221" s="48"/>
      <c r="H221" s="48"/>
      <c r="I221" s="48"/>
    </row>
    <row r="222" spans="1:9" x14ac:dyDescent="0.3">
      <c r="A222" s="40"/>
      <c r="F222" s="7"/>
      <c r="G222" s="48"/>
      <c r="H222" s="48"/>
      <c r="I222" s="48"/>
    </row>
    <row r="223" spans="1:9" x14ac:dyDescent="0.3">
      <c r="A223" s="40"/>
      <c r="F223" s="7"/>
      <c r="G223" s="48"/>
      <c r="H223" s="48"/>
      <c r="I223" s="48"/>
    </row>
    <row r="224" spans="1:9" x14ac:dyDescent="0.3">
      <c r="A224" s="40"/>
      <c r="F224" s="7"/>
      <c r="G224" s="48"/>
      <c r="H224" s="48"/>
      <c r="I224" s="48"/>
    </row>
    <row r="225" spans="1:9" x14ac:dyDescent="0.3">
      <c r="A225" s="40"/>
      <c r="F225" s="7"/>
      <c r="G225" s="48"/>
      <c r="H225" s="48"/>
      <c r="I225" s="48"/>
    </row>
    <row r="226" spans="1:9" x14ac:dyDescent="0.3">
      <c r="A226" s="40"/>
      <c r="F226" s="7"/>
      <c r="G226" s="48"/>
      <c r="H226" s="48"/>
      <c r="I226" s="48"/>
    </row>
    <row r="227" spans="1:9" x14ac:dyDescent="0.3">
      <c r="A227" s="40"/>
      <c r="F227" s="7"/>
      <c r="G227" s="48"/>
      <c r="H227" s="48"/>
      <c r="I227" s="48"/>
    </row>
    <row r="228" spans="1:9" x14ac:dyDescent="0.3">
      <c r="A228" s="40"/>
      <c r="F228" s="7"/>
      <c r="G228" s="48"/>
      <c r="H228" s="48"/>
      <c r="I228" s="48"/>
    </row>
    <row r="229" spans="1:9" x14ac:dyDescent="0.3">
      <c r="A229" s="40"/>
      <c r="F229" s="7"/>
      <c r="G229" s="48"/>
      <c r="H229" s="48"/>
      <c r="I229" s="48"/>
    </row>
    <row r="230" spans="1:9" x14ac:dyDescent="0.3">
      <c r="A230" s="40"/>
      <c r="F230" s="7"/>
      <c r="G230" s="48"/>
      <c r="H230" s="48"/>
      <c r="I230" s="48"/>
    </row>
    <row r="231" spans="1:9" x14ac:dyDescent="0.3">
      <c r="A231" s="40"/>
      <c r="F231" s="7"/>
      <c r="G231" s="48"/>
      <c r="H231" s="48"/>
      <c r="I231" s="48"/>
    </row>
    <row r="232" spans="1:9" x14ac:dyDescent="0.3">
      <c r="A232" s="40"/>
      <c r="F232" s="7"/>
      <c r="G232" s="48"/>
      <c r="H232" s="48"/>
      <c r="I232" s="48"/>
    </row>
    <row r="233" spans="1:9" x14ac:dyDescent="0.3">
      <c r="A233" s="40"/>
      <c r="F233" s="7"/>
      <c r="G233" s="48"/>
      <c r="H233" s="48"/>
      <c r="I233" s="48"/>
    </row>
    <row r="234" spans="1:9" x14ac:dyDescent="0.3">
      <c r="A234" s="40"/>
      <c r="F234" s="7"/>
      <c r="G234" s="48"/>
      <c r="H234" s="48"/>
      <c r="I234" s="48"/>
    </row>
    <row r="235" spans="1:9" x14ac:dyDescent="0.3">
      <c r="A235" s="40"/>
      <c r="F235" s="7"/>
      <c r="G235" s="48"/>
      <c r="H235" s="48"/>
      <c r="I235" s="48"/>
    </row>
    <row r="236" spans="1:9" x14ac:dyDescent="0.3">
      <c r="A236" s="40"/>
      <c r="F236" s="7"/>
      <c r="G236" s="48"/>
      <c r="H236" s="48"/>
      <c r="I236" s="48"/>
    </row>
    <row r="237" spans="1:9" x14ac:dyDescent="0.3">
      <c r="A237" s="40"/>
      <c r="F237" s="7"/>
      <c r="G237" s="48"/>
      <c r="H237" s="48"/>
      <c r="I237" s="48"/>
    </row>
    <row r="238" spans="1:9" x14ac:dyDescent="0.3">
      <c r="A238" s="40"/>
      <c r="F238" s="7"/>
      <c r="G238" s="48"/>
      <c r="H238" s="48"/>
      <c r="I238" s="48"/>
    </row>
    <row r="239" spans="1:9" x14ac:dyDescent="0.3">
      <c r="A239" s="40"/>
      <c r="F239" s="7"/>
      <c r="G239" s="48"/>
      <c r="H239" s="48"/>
      <c r="I239" s="48"/>
    </row>
    <row r="240" spans="1:9" x14ac:dyDescent="0.3">
      <c r="A240" s="40"/>
      <c r="F240" s="7"/>
      <c r="G240" s="48"/>
      <c r="H240" s="48"/>
      <c r="I240" s="48"/>
    </row>
    <row r="241" spans="1:9" x14ac:dyDescent="0.3">
      <c r="A241" s="40"/>
      <c r="F241" s="7"/>
      <c r="G241" s="48"/>
      <c r="H241" s="48"/>
      <c r="I241" s="48"/>
    </row>
    <row r="242" spans="1:9" x14ac:dyDescent="0.3">
      <c r="A242" s="40"/>
      <c r="F242" s="7"/>
      <c r="G242" s="48"/>
      <c r="H242" s="48"/>
      <c r="I242" s="48"/>
    </row>
    <row r="243" spans="1:9" x14ac:dyDescent="0.3">
      <c r="A243" s="40"/>
      <c r="F243" s="7"/>
      <c r="G243" s="48"/>
      <c r="H243" s="48"/>
      <c r="I243" s="48"/>
    </row>
    <row r="244" spans="1:9" x14ac:dyDescent="0.3">
      <c r="A244" s="40"/>
      <c r="F244" s="7"/>
      <c r="G244" s="48"/>
      <c r="H244" s="48"/>
      <c r="I244" s="48"/>
    </row>
    <row r="245" spans="1:9" x14ac:dyDescent="0.3">
      <c r="A245" s="40"/>
      <c r="F245" s="7"/>
      <c r="G245" s="48"/>
      <c r="H245" s="48"/>
      <c r="I245" s="48"/>
    </row>
    <row r="246" spans="1:9" x14ac:dyDescent="0.3">
      <c r="A246" s="40"/>
      <c r="F246" s="7"/>
      <c r="G246" s="48"/>
      <c r="H246" s="48"/>
      <c r="I246" s="48"/>
    </row>
    <row r="247" spans="1:9" x14ac:dyDescent="0.3">
      <c r="A247" s="40"/>
      <c r="F247" s="7"/>
      <c r="G247" s="48"/>
      <c r="H247" s="48"/>
      <c r="I247" s="48"/>
    </row>
    <row r="248" spans="1:9" x14ac:dyDescent="0.3">
      <c r="A248" s="40"/>
      <c r="F248" s="7"/>
      <c r="G248" s="48"/>
      <c r="H248" s="48"/>
      <c r="I248" s="48"/>
    </row>
    <row r="249" spans="1:9" x14ac:dyDescent="0.3">
      <c r="A249" s="40"/>
      <c r="F249" s="7"/>
      <c r="G249" s="48"/>
      <c r="H249" s="48"/>
      <c r="I249" s="48"/>
    </row>
    <row r="250" spans="1:9" x14ac:dyDescent="0.3">
      <c r="A250" s="40"/>
      <c r="F250" s="7"/>
      <c r="G250" s="48"/>
      <c r="H250" s="48"/>
      <c r="I250" s="48"/>
    </row>
    <row r="251" spans="1:9" x14ac:dyDescent="0.3">
      <c r="A251" s="40"/>
      <c r="F251" s="7"/>
      <c r="G251" s="48"/>
      <c r="H251" s="48"/>
      <c r="I251" s="48"/>
    </row>
    <row r="252" spans="1:9" x14ac:dyDescent="0.3">
      <c r="A252" s="40"/>
      <c r="F252" s="7"/>
      <c r="G252" s="48"/>
      <c r="H252" s="48"/>
      <c r="I252" s="48"/>
    </row>
    <row r="253" spans="1:9" x14ac:dyDescent="0.3">
      <c r="A253" s="40"/>
      <c r="F253" s="7"/>
      <c r="G253" s="48"/>
      <c r="H253" s="48"/>
      <c r="I253" s="48"/>
    </row>
    <row r="254" spans="1:9" x14ac:dyDescent="0.3">
      <c r="A254" s="40"/>
      <c r="F254" s="7"/>
      <c r="G254" s="48"/>
      <c r="H254" s="48"/>
      <c r="I254" s="48"/>
    </row>
    <row r="255" spans="1:9" x14ac:dyDescent="0.3">
      <c r="A255" s="40"/>
      <c r="F255" s="7"/>
      <c r="G255" s="48"/>
      <c r="H255" s="48"/>
      <c r="I255" s="48"/>
    </row>
    <row r="256" spans="1:9" x14ac:dyDescent="0.3">
      <c r="A256" s="40"/>
      <c r="F256" s="7"/>
      <c r="G256" s="48"/>
      <c r="H256" s="48"/>
      <c r="I256" s="48"/>
    </row>
    <row r="257" spans="1:9" x14ac:dyDescent="0.3">
      <c r="A257" s="40"/>
      <c r="F257" s="7"/>
      <c r="G257" s="48"/>
      <c r="H257" s="48"/>
      <c r="I257" s="48"/>
    </row>
    <row r="258" spans="1:9" x14ac:dyDescent="0.3">
      <c r="A258" s="40"/>
      <c r="F258" s="7"/>
      <c r="G258" s="48"/>
      <c r="H258" s="48"/>
      <c r="I258" s="48"/>
    </row>
    <row r="259" spans="1:9" x14ac:dyDescent="0.3">
      <c r="A259" s="40"/>
      <c r="F259" s="7"/>
      <c r="G259" s="48"/>
      <c r="H259" s="48"/>
      <c r="I259" s="48"/>
    </row>
    <row r="260" spans="1:9" x14ac:dyDescent="0.3">
      <c r="A260" s="40"/>
      <c r="F260" s="7"/>
      <c r="G260" s="48"/>
      <c r="H260" s="48"/>
      <c r="I260" s="48"/>
    </row>
    <row r="261" spans="1:9" x14ac:dyDescent="0.3">
      <c r="A261" s="40"/>
      <c r="F261" s="7"/>
      <c r="G261" s="48"/>
      <c r="H261" s="48"/>
      <c r="I261" s="48"/>
    </row>
    <row r="262" spans="1:9" x14ac:dyDescent="0.3">
      <c r="A262" s="40"/>
      <c r="F262" s="7"/>
      <c r="G262" s="48"/>
      <c r="H262" s="48"/>
      <c r="I262" s="48"/>
    </row>
    <row r="263" spans="1:9" x14ac:dyDescent="0.3">
      <c r="A263" s="40"/>
      <c r="F263" s="7"/>
      <c r="G263" s="48"/>
      <c r="H263" s="48"/>
      <c r="I263" s="48"/>
    </row>
    <row r="264" spans="1:9" x14ac:dyDescent="0.3">
      <c r="A264" s="40"/>
      <c r="F264" s="7"/>
      <c r="G264" s="48"/>
      <c r="H264" s="48"/>
      <c r="I264" s="48"/>
    </row>
    <row r="265" spans="1:9" x14ac:dyDescent="0.3">
      <c r="A265" s="40"/>
      <c r="F265" s="7"/>
      <c r="G265" s="48"/>
      <c r="H265" s="48"/>
      <c r="I265" s="48"/>
    </row>
    <row r="266" spans="1:9" x14ac:dyDescent="0.3">
      <c r="A266" s="40"/>
      <c r="F266" s="7"/>
      <c r="G266" s="48"/>
      <c r="H266" s="48"/>
      <c r="I266" s="48"/>
    </row>
    <row r="267" spans="1:9" x14ac:dyDescent="0.3">
      <c r="A267" s="40"/>
      <c r="F267" s="7"/>
      <c r="G267" s="48"/>
      <c r="H267" s="48"/>
      <c r="I267" s="48"/>
    </row>
    <row r="268" spans="1:9" x14ac:dyDescent="0.3">
      <c r="A268" s="40"/>
      <c r="F268" s="7"/>
      <c r="G268" s="48"/>
      <c r="H268" s="48"/>
      <c r="I268" s="48"/>
    </row>
    <row r="269" spans="1:9" x14ac:dyDescent="0.3">
      <c r="A269" s="40"/>
      <c r="F269" s="7"/>
      <c r="G269" s="48"/>
      <c r="H269" s="48"/>
      <c r="I269" s="48"/>
    </row>
    <row r="270" spans="1:9" x14ac:dyDescent="0.3">
      <c r="A270" s="40"/>
      <c r="F270" s="7"/>
      <c r="G270" s="48"/>
      <c r="H270" s="48"/>
      <c r="I270" s="48"/>
    </row>
    <row r="271" spans="1:9" x14ac:dyDescent="0.3">
      <c r="A271" s="40"/>
      <c r="F271" s="7"/>
      <c r="G271" s="48"/>
      <c r="H271" s="48"/>
      <c r="I271" s="48"/>
    </row>
    <row r="272" spans="1:9" x14ac:dyDescent="0.3">
      <c r="A272" s="40"/>
      <c r="F272" s="7"/>
      <c r="G272" s="48"/>
      <c r="H272" s="48"/>
      <c r="I272" s="48"/>
    </row>
    <row r="273" spans="1:9" x14ac:dyDescent="0.3">
      <c r="A273" s="40"/>
      <c r="F273" s="7"/>
      <c r="G273" s="48"/>
      <c r="H273" s="48"/>
      <c r="I273" s="48"/>
    </row>
    <row r="274" spans="1:9" x14ac:dyDescent="0.3">
      <c r="A274" s="40"/>
      <c r="F274" s="7"/>
      <c r="G274" s="48"/>
      <c r="H274" s="48"/>
      <c r="I274" s="48"/>
    </row>
    <row r="275" spans="1:9" x14ac:dyDescent="0.3">
      <c r="A275" s="40"/>
      <c r="F275" s="7"/>
      <c r="G275" s="48"/>
      <c r="H275" s="48"/>
      <c r="I275" s="48"/>
    </row>
    <row r="276" spans="1:9" x14ac:dyDescent="0.3">
      <c r="A276" s="40"/>
      <c r="F276" s="7"/>
      <c r="G276" s="48"/>
      <c r="H276" s="48"/>
      <c r="I276" s="48"/>
    </row>
    <row r="277" spans="1:9" x14ac:dyDescent="0.3">
      <c r="A277" s="40"/>
      <c r="F277" s="7"/>
      <c r="G277" s="48"/>
      <c r="H277" s="48"/>
      <c r="I277" s="48"/>
    </row>
    <row r="278" spans="1:9" x14ac:dyDescent="0.3">
      <c r="A278" s="40"/>
      <c r="F278" s="7"/>
      <c r="G278" s="48"/>
      <c r="H278" s="48"/>
      <c r="I278" s="48"/>
    </row>
    <row r="279" spans="1:9" x14ac:dyDescent="0.3">
      <c r="A279" s="40"/>
      <c r="F279" s="7"/>
      <c r="G279" s="48"/>
      <c r="H279" s="48"/>
      <c r="I279" s="48"/>
    </row>
    <row r="280" spans="1:9" x14ac:dyDescent="0.3">
      <c r="A280" s="40"/>
      <c r="F280" s="7"/>
      <c r="G280" s="48"/>
      <c r="H280" s="48"/>
      <c r="I280" s="48"/>
    </row>
    <row r="281" spans="1:9" x14ac:dyDescent="0.3">
      <c r="A281" s="40"/>
      <c r="F281" s="7"/>
      <c r="G281" s="48"/>
      <c r="H281" s="48"/>
      <c r="I281" s="48"/>
    </row>
    <row r="282" spans="1:9" x14ac:dyDescent="0.3">
      <c r="A282" s="40"/>
      <c r="F282" s="7"/>
      <c r="G282" s="48"/>
      <c r="H282" s="48"/>
      <c r="I282" s="48"/>
    </row>
    <row r="283" spans="1:9" x14ac:dyDescent="0.3">
      <c r="A283" s="40"/>
      <c r="F283" s="7"/>
      <c r="G283" s="48"/>
      <c r="H283" s="48"/>
      <c r="I283" s="48"/>
    </row>
    <row r="284" spans="1:9" x14ac:dyDescent="0.3">
      <c r="A284" s="40"/>
      <c r="F284" s="7"/>
      <c r="G284" s="48"/>
      <c r="H284" s="48"/>
      <c r="I284" s="48"/>
    </row>
    <row r="285" spans="1:9" x14ac:dyDescent="0.3">
      <c r="A285" s="40"/>
      <c r="F285" s="7"/>
      <c r="G285" s="48"/>
      <c r="H285" s="48"/>
      <c r="I285" s="48"/>
    </row>
    <row r="286" spans="1:9" x14ac:dyDescent="0.3">
      <c r="A286" s="40"/>
      <c r="F286" s="7"/>
      <c r="G286" s="48"/>
      <c r="H286" s="48"/>
      <c r="I286" s="48"/>
    </row>
    <row r="287" spans="1:9" x14ac:dyDescent="0.3">
      <c r="A287" s="40"/>
      <c r="F287" s="7"/>
      <c r="G287" s="48"/>
      <c r="H287" s="48"/>
      <c r="I287" s="48"/>
    </row>
    <row r="288" spans="1:9" x14ac:dyDescent="0.3">
      <c r="A288" s="40"/>
      <c r="F288" s="7"/>
      <c r="G288" s="48"/>
      <c r="H288" s="48"/>
      <c r="I288" s="48"/>
    </row>
    <row r="289" spans="1:9" x14ac:dyDescent="0.3">
      <c r="A289" s="40"/>
      <c r="F289" s="7"/>
      <c r="G289" s="48"/>
      <c r="H289" s="48"/>
      <c r="I289" s="48"/>
    </row>
    <row r="290" spans="1:9" x14ac:dyDescent="0.3">
      <c r="A290" s="40"/>
      <c r="F290" s="7"/>
      <c r="G290" s="48"/>
      <c r="H290" s="48"/>
      <c r="I290" s="48"/>
    </row>
    <row r="291" spans="1:9" x14ac:dyDescent="0.3">
      <c r="A291" s="40"/>
      <c r="F291" s="7"/>
      <c r="G291" s="48"/>
      <c r="H291" s="48"/>
      <c r="I291" s="48"/>
    </row>
    <row r="292" spans="1:9" x14ac:dyDescent="0.3">
      <c r="A292" s="40"/>
      <c r="F292" s="7"/>
      <c r="G292" s="48"/>
      <c r="H292" s="48"/>
      <c r="I292" s="48"/>
    </row>
    <row r="293" spans="1:9" x14ac:dyDescent="0.3">
      <c r="A293" s="40"/>
      <c r="F293" s="7"/>
      <c r="G293" s="48"/>
      <c r="H293" s="48"/>
      <c r="I293" s="48"/>
    </row>
    <row r="294" spans="1:9" x14ac:dyDescent="0.3">
      <c r="A294" s="40"/>
      <c r="F294" s="7"/>
      <c r="G294" s="48"/>
      <c r="H294" s="48"/>
      <c r="I294" s="48"/>
    </row>
    <row r="295" spans="1:9" x14ac:dyDescent="0.3">
      <c r="A295" s="40"/>
      <c r="F295" s="7"/>
      <c r="G295" s="48"/>
      <c r="H295" s="48"/>
      <c r="I295" s="48"/>
    </row>
    <row r="296" spans="1:9" x14ac:dyDescent="0.3">
      <c r="A296" s="40"/>
      <c r="F296" s="7"/>
      <c r="G296" s="48"/>
      <c r="H296" s="48"/>
      <c r="I296" s="48"/>
    </row>
    <row r="297" spans="1:9" x14ac:dyDescent="0.3">
      <c r="A297" s="40"/>
      <c r="F297" s="7"/>
      <c r="G297" s="48"/>
      <c r="H297" s="48"/>
      <c r="I297" s="48"/>
    </row>
    <row r="298" spans="1:9" x14ac:dyDescent="0.3">
      <c r="A298" s="40"/>
      <c r="F298" s="7"/>
      <c r="G298" s="48"/>
      <c r="H298" s="48"/>
      <c r="I298" s="48"/>
    </row>
    <row r="299" spans="1:9" x14ac:dyDescent="0.3">
      <c r="A299" s="40"/>
      <c r="F299" s="7"/>
      <c r="G299" s="48"/>
      <c r="H299" s="48"/>
      <c r="I299" s="48"/>
    </row>
    <row r="300" spans="1:9" x14ac:dyDescent="0.3">
      <c r="A300" s="40"/>
      <c r="F300" s="7"/>
      <c r="G300" s="48"/>
      <c r="H300" s="48"/>
      <c r="I300" s="48"/>
    </row>
    <row r="301" spans="1:9" x14ac:dyDescent="0.3">
      <c r="A301" s="40"/>
      <c r="F301" s="7"/>
      <c r="G301" s="48"/>
      <c r="H301" s="48"/>
      <c r="I301" s="48"/>
    </row>
    <row r="302" spans="1:9" x14ac:dyDescent="0.3">
      <c r="A302" s="40"/>
      <c r="F302" s="7"/>
      <c r="G302" s="48"/>
      <c r="H302" s="48"/>
      <c r="I302" s="48"/>
    </row>
    <row r="303" spans="1:9" x14ac:dyDescent="0.3">
      <c r="A303" s="40"/>
      <c r="F303" s="7"/>
      <c r="G303" s="48"/>
      <c r="H303" s="48"/>
      <c r="I303" s="48"/>
    </row>
    <row r="304" spans="1:9" x14ac:dyDescent="0.3">
      <c r="A304" s="40"/>
      <c r="F304" s="7"/>
      <c r="G304" s="48"/>
      <c r="H304" s="48"/>
      <c r="I304" s="48"/>
    </row>
    <row r="305" spans="1:9" x14ac:dyDescent="0.3">
      <c r="A305" s="40"/>
      <c r="F305" s="7"/>
      <c r="G305" s="48"/>
      <c r="H305" s="48"/>
      <c r="I305" s="48"/>
    </row>
    <row r="306" spans="1:9" x14ac:dyDescent="0.3">
      <c r="A306" s="40"/>
      <c r="F306" s="7"/>
      <c r="G306" s="48"/>
      <c r="H306" s="48"/>
      <c r="I306" s="48"/>
    </row>
    <row r="307" spans="1:9" x14ac:dyDescent="0.3">
      <c r="A307" s="40"/>
      <c r="F307" s="7"/>
      <c r="G307" s="48"/>
      <c r="H307" s="48"/>
      <c r="I307" s="48"/>
    </row>
    <row r="308" spans="1:9" x14ac:dyDescent="0.3">
      <c r="A308" s="40"/>
      <c r="F308" s="7"/>
      <c r="G308" s="48"/>
      <c r="H308" s="48"/>
      <c r="I308" s="48"/>
    </row>
    <row r="309" spans="1:9" x14ac:dyDescent="0.3">
      <c r="A309" s="40"/>
      <c r="F309" s="7"/>
      <c r="G309" s="48"/>
      <c r="H309" s="48"/>
      <c r="I309" s="48"/>
    </row>
    <row r="310" spans="1:9" x14ac:dyDescent="0.3">
      <c r="A310" s="40"/>
      <c r="F310" s="7"/>
      <c r="G310" s="48"/>
      <c r="H310" s="48"/>
      <c r="I310" s="48"/>
    </row>
    <row r="311" spans="1:9" x14ac:dyDescent="0.3">
      <c r="A311" s="40"/>
      <c r="F311" s="7"/>
      <c r="G311" s="48"/>
      <c r="H311" s="48"/>
      <c r="I311" s="48"/>
    </row>
    <row r="312" spans="1:9" x14ac:dyDescent="0.3">
      <c r="A312" s="40"/>
      <c r="F312" s="7"/>
      <c r="G312" s="48"/>
      <c r="H312" s="48"/>
      <c r="I312" s="48"/>
    </row>
    <row r="313" spans="1:9" x14ac:dyDescent="0.3">
      <c r="A313" s="40"/>
      <c r="F313" s="7"/>
      <c r="G313" s="48"/>
      <c r="H313" s="48"/>
      <c r="I313" s="48"/>
    </row>
    <row r="314" spans="1:9" x14ac:dyDescent="0.3">
      <c r="A314" s="40"/>
      <c r="F314" s="7"/>
      <c r="G314" s="48"/>
      <c r="H314" s="48"/>
      <c r="I314" s="48"/>
    </row>
    <row r="315" spans="1:9" x14ac:dyDescent="0.3">
      <c r="A315" s="40"/>
      <c r="F315" s="7"/>
      <c r="G315" s="48"/>
      <c r="H315" s="48"/>
      <c r="I315" s="48"/>
    </row>
    <row r="316" spans="1:9" x14ac:dyDescent="0.3">
      <c r="A316" s="40"/>
      <c r="F316" s="7"/>
      <c r="G316" s="48"/>
      <c r="H316" s="48"/>
      <c r="I316" s="48"/>
    </row>
    <row r="317" spans="1:9" x14ac:dyDescent="0.3">
      <c r="A317" s="40"/>
      <c r="F317" s="7"/>
      <c r="G317" s="48"/>
      <c r="H317" s="48"/>
      <c r="I317" s="48"/>
    </row>
    <row r="318" spans="1:9" x14ac:dyDescent="0.3">
      <c r="A318" s="40"/>
      <c r="F318" s="7"/>
      <c r="G318" s="48"/>
      <c r="H318" s="48"/>
      <c r="I318" s="48"/>
    </row>
    <row r="319" spans="1:9" x14ac:dyDescent="0.3">
      <c r="A319" s="40"/>
      <c r="F319" s="7"/>
      <c r="G319" s="48"/>
      <c r="H319" s="48"/>
      <c r="I319" s="48"/>
    </row>
    <row r="320" spans="1:9" x14ac:dyDescent="0.3">
      <c r="A320" s="40"/>
      <c r="F320" s="7"/>
      <c r="G320" s="48"/>
      <c r="H320" s="48"/>
      <c r="I320" s="48"/>
    </row>
    <row r="321" spans="1:9" x14ac:dyDescent="0.3">
      <c r="A321" s="40"/>
      <c r="F321" s="7"/>
      <c r="G321" s="48"/>
      <c r="H321" s="48"/>
      <c r="I321" s="48"/>
    </row>
    <row r="322" spans="1:9" x14ac:dyDescent="0.3">
      <c r="A322" s="40"/>
      <c r="F322" s="7"/>
      <c r="G322" s="48"/>
      <c r="H322" s="48"/>
      <c r="I322" s="48"/>
    </row>
    <row r="323" spans="1:9" x14ac:dyDescent="0.3">
      <c r="A323" s="40"/>
      <c r="F323" s="7"/>
      <c r="G323" s="48"/>
      <c r="H323" s="48"/>
      <c r="I323" s="48"/>
    </row>
    <row r="324" spans="1:9" x14ac:dyDescent="0.3">
      <c r="A324" s="40"/>
      <c r="F324" s="7"/>
      <c r="G324" s="48"/>
      <c r="H324" s="48"/>
      <c r="I324" s="48"/>
    </row>
    <row r="325" spans="1:9" x14ac:dyDescent="0.3">
      <c r="A325" s="40"/>
      <c r="F325" s="7"/>
      <c r="G325" s="48"/>
      <c r="H325" s="48"/>
      <c r="I325" s="48"/>
    </row>
    <row r="326" spans="1:9" x14ac:dyDescent="0.3">
      <c r="A326" s="40"/>
      <c r="F326" s="7"/>
      <c r="G326" s="48"/>
      <c r="H326" s="48"/>
      <c r="I326" s="48"/>
    </row>
    <row r="327" spans="1:9" x14ac:dyDescent="0.3">
      <c r="A327" s="40"/>
      <c r="F327" s="7"/>
      <c r="G327" s="48"/>
      <c r="H327" s="48"/>
      <c r="I327" s="48"/>
    </row>
    <row r="328" spans="1:9" x14ac:dyDescent="0.3">
      <c r="A328" s="40"/>
      <c r="F328" s="7"/>
      <c r="G328" s="48"/>
      <c r="H328" s="48"/>
      <c r="I328" s="48"/>
    </row>
    <row r="329" spans="1:9" x14ac:dyDescent="0.3">
      <c r="A329" s="40"/>
      <c r="F329" s="7"/>
      <c r="G329" s="48"/>
      <c r="H329" s="48"/>
      <c r="I329" s="48"/>
    </row>
    <row r="330" spans="1:9" x14ac:dyDescent="0.3">
      <c r="A330" s="40"/>
      <c r="F330" s="7"/>
      <c r="G330" s="48"/>
      <c r="H330" s="48"/>
      <c r="I330" s="48"/>
    </row>
    <row r="331" spans="1:9" x14ac:dyDescent="0.3">
      <c r="A331" s="40"/>
      <c r="F331" s="7"/>
      <c r="G331" s="48"/>
      <c r="H331" s="48"/>
      <c r="I331" s="48"/>
    </row>
    <row r="332" spans="1:9" x14ac:dyDescent="0.3">
      <c r="A332" s="40"/>
      <c r="F332" s="7"/>
      <c r="G332" s="48"/>
      <c r="H332" s="48"/>
      <c r="I332" s="48"/>
    </row>
    <row r="333" spans="1:9" x14ac:dyDescent="0.3">
      <c r="A333" s="40"/>
      <c r="F333" s="7"/>
      <c r="G333" s="48"/>
      <c r="H333" s="48"/>
      <c r="I333" s="48"/>
    </row>
    <row r="334" spans="1:9" x14ac:dyDescent="0.3">
      <c r="A334" s="40"/>
      <c r="F334" s="7"/>
      <c r="G334" s="48"/>
      <c r="H334" s="48"/>
      <c r="I334" s="48"/>
    </row>
    <row r="335" spans="1:9" x14ac:dyDescent="0.3">
      <c r="A335" s="40"/>
      <c r="F335" s="7"/>
      <c r="G335" s="48"/>
      <c r="H335" s="48"/>
      <c r="I335" s="48"/>
    </row>
    <row r="336" spans="1:9" x14ac:dyDescent="0.3">
      <c r="A336" s="40"/>
      <c r="F336" s="7"/>
      <c r="G336" s="48"/>
      <c r="H336" s="48"/>
      <c r="I336" s="48"/>
    </row>
    <row r="337" spans="1:9" x14ac:dyDescent="0.3">
      <c r="A337" s="40"/>
      <c r="F337" s="7"/>
      <c r="G337" s="48"/>
      <c r="H337" s="48"/>
      <c r="I337" s="48"/>
    </row>
    <row r="338" spans="1:9" x14ac:dyDescent="0.3">
      <c r="A338" s="40"/>
      <c r="F338" s="7"/>
      <c r="G338" s="48"/>
      <c r="H338" s="48"/>
      <c r="I338" s="48"/>
    </row>
    <row r="339" spans="1:9" x14ac:dyDescent="0.3">
      <c r="A339" s="40"/>
      <c r="F339" s="7"/>
      <c r="G339" s="48"/>
      <c r="H339" s="48"/>
      <c r="I339" s="48"/>
    </row>
    <row r="340" spans="1:9" x14ac:dyDescent="0.3">
      <c r="A340" s="40"/>
      <c r="F340" s="7"/>
      <c r="G340" s="48"/>
      <c r="H340" s="48"/>
      <c r="I340" s="48"/>
    </row>
    <row r="341" spans="1:9" x14ac:dyDescent="0.3">
      <c r="A341" s="40"/>
      <c r="F341" s="7"/>
      <c r="G341" s="48"/>
      <c r="H341" s="48"/>
      <c r="I341" s="48"/>
    </row>
    <row r="342" spans="1:9" x14ac:dyDescent="0.3">
      <c r="A342" s="40"/>
      <c r="F342" s="7"/>
      <c r="G342" s="48"/>
      <c r="H342" s="48"/>
      <c r="I342" s="48"/>
    </row>
    <row r="343" spans="1:9" x14ac:dyDescent="0.3">
      <c r="A343" s="40"/>
      <c r="F343" s="7"/>
      <c r="G343" s="48"/>
      <c r="H343" s="48"/>
      <c r="I343" s="48"/>
    </row>
    <row r="344" spans="1:9" x14ac:dyDescent="0.3">
      <c r="A344" s="40"/>
      <c r="F344" s="7"/>
      <c r="G344" s="48"/>
      <c r="H344" s="48"/>
      <c r="I344" s="48"/>
    </row>
    <row r="345" spans="1:9" x14ac:dyDescent="0.3">
      <c r="A345" s="40"/>
      <c r="F345" s="7"/>
      <c r="G345" s="48"/>
      <c r="H345" s="48"/>
      <c r="I345" s="48"/>
    </row>
    <row r="346" spans="1:9" x14ac:dyDescent="0.3">
      <c r="A346" s="40"/>
      <c r="F346" s="7"/>
      <c r="G346" s="48"/>
      <c r="H346" s="48"/>
      <c r="I346" s="48"/>
    </row>
    <row r="347" spans="1:9" x14ac:dyDescent="0.3">
      <c r="A347" s="40"/>
      <c r="F347" s="7"/>
      <c r="G347" s="48"/>
      <c r="H347" s="48"/>
      <c r="I347" s="48"/>
    </row>
    <row r="348" spans="1:9" x14ac:dyDescent="0.3">
      <c r="A348" s="40"/>
      <c r="F348" s="7"/>
      <c r="G348" s="48"/>
      <c r="H348" s="48"/>
      <c r="I348" s="48"/>
    </row>
    <row r="349" spans="1:9" x14ac:dyDescent="0.3">
      <c r="A349" s="40"/>
      <c r="F349" s="7"/>
      <c r="G349" s="48"/>
      <c r="H349" s="48"/>
      <c r="I349" s="48"/>
    </row>
    <row r="350" spans="1:9" x14ac:dyDescent="0.3">
      <c r="A350" s="40"/>
      <c r="F350" s="7"/>
      <c r="G350" s="48"/>
      <c r="H350" s="48"/>
      <c r="I350" s="48"/>
    </row>
    <row r="351" spans="1:9" x14ac:dyDescent="0.3">
      <c r="A351" s="40"/>
      <c r="F351" s="7"/>
      <c r="G351" s="48"/>
      <c r="H351" s="48"/>
      <c r="I351" s="48"/>
    </row>
    <row r="352" spans="1:9" x14ac:dyDescent="0.3">
      <c r="A352" s="40"/>
      <c r="F352" s="7"/>
      <c r="G352" s="48"/>
      <c r="H352" s="48"/>
      <c r="I352" s="48"/>
    </row>
    <row r="353" spans="1:9" x14ac:dyDescent="0.3">
      <c r="A353" s="40"/>
      <c r="F353" s="7"/>
      <c r="G353" s="48"/>
      <c r="H353" s="48"/>
      <c r="I353" s="48"/>
    </row>
    <row r="354" spans="1:9" x14ac:dyDescent="0.3">
      <c r="A354" s="40"/>
      <c r="F354" s="7"/>
      <c r="G354" s="48"/>
      <c r="H354" s="48"/>
      <c r="I354" s="48"/>
    </row>
    <row r="355" spans="1:9" x14ac:dyDescent="0.3">
      <c r="A355" s="40"/>
      <c r="F355" s="7"/>
      <c r="G355" s="48"/>
      <c r="H355" s="48"/>
      <c r="I355" s="48"/>
    </row>
    <row r="356" spans="1:9" x14ac:dyDescent="0.3">
      <c r="A356" s="40"/>
      <c r="F356" s="7"/>
      <c r="G356" s="48"/>
      <c r="H356" s="48"/>
      <c r="I356" s="48"/>
    </row>
    <row r="357" spans="1:9" x14ac:dyDescent="0.3">
      <c r="A357" s="40"/>
      <c r="F357" s="7"/>
      <c r="G357" s="48"/>
      <c r="H357" s="48"/>
      <c r="I357" s="48"/>
    </row>
    <row r="358" spans="1:9" x14ac:dyDescent="0.3">
      <c r="A358" s="40"/>
      <c r="F358" s="7"/>
      <c r="G358" s="48"/>
      <c r="H358" s="48"/>
      <c r="I358" s="48"/>
    </row>
    <row r="359" spans="1:9" x14ac:dyDescent="0.3">
      <c r="A359" s="40"/>
      <c r="F359" s="7"/>
      <c r="G359" s="48"/>
      <c r="H359" s="48"/>
      <c r="I359" s="48"/>
    </row>
    <row r="360" spans="1:9" x14ac:dyDescent="0.3">
      <c r="A360" s="40"/>
      <c r="F360" s="7"/>
      <c r="G360" s="48"/>
      <c r="H360" s="48"/>
      <c r="I360" s="48"/>
    </row>
    <row r="361" spans="1:9" x14ac:dyDescent="0.3">
      <c r="A361" s="40"/>
      <c r="F361" s="7"/>
      <c r="G361" s="48"/>
      <c r="H361" s="48"/>
      <c r="I361" s="48"/>
    </row>
    <row r="362" spans="1:9" x14ac:dyDescent="0.3">
      <c r="A362" s="40"/>
      <c r="F362" s="7"/>
      <c r="G362" s="48"/>
      <c r="H362" s="48"/>
      <c r="I362" s="48"/>
    </row>
    <row r="363" spans="1:9" x14ac:dyDescent="0.3">
      <c r="A363" s="40"/>
      <c r="F363" s="7"/>
      <c r="G363" s="48"/>
      <c r="H363" s="48"/>
      <c r="I363" s="48"/>
    </row>
    <row r="364" spans="1:9" x14ac:dyDescent="0.3">
      <c r="A364" s="40"/>
      <c r="F364" s="7"/>
      <c r="G364" s="48"/>
      <c r="H364" s="48"/>
      <c r="I364" s="48"/>
    </row>
    <row r="365" spans="1:9" x14ac:dyDescent="0.3">
      <c r="A365" s="40"/>
      <c r="F365" s="7"/>
      <c r="G365" s="48"/>
      <c r="H365" s="48"/>
      <c r="I365" s="48"/>
    </row>
    <row r="366" spans="1:9" x14ac:dyDescent="0.3">
      <c r="A366" s="40"/>
      <c r="F366" s="7"/>
      <c r="G366" s="48"/>
      <c r="H366" s="48"/>
      <c r="I366" s="48"/>
    </row>
    <row r="367" spans="1:9" x14ac:dyDescent="0.3">
      <c r="A367" s="40"/>
      <c r="F367" s="7"/>
      <c r="G367" s="48"/>
      <c r="H367" s="48"/>
      <c r="I367" s="48"/>
    </row>
    <row r="368" spans="1:9" x14ac:dyDescent="0.3">
      <c r="A368" s="40"/>
      <c r="F368" s="7"/>
      <c r="G368" s="48"/>
      <c r="H368" s="48"/>
      <c r="I368" s="48"/>
    </row>
    <row r="369" spans="1:9" x14ac:dyDescent="0.3">
      <c r="A369" s="40"/>
      <c r="F369" s="7"/>
      <c r="G369" s="48"/>
      <c r="H369" s="48"/>
      <c r="I369" s="48"/>
    </row>
    <row r="370" spans="1:9" x14ac:dyDescent="0.3">
      <c r="A370" s="40"/>
      <c r="F370" s="7"/>
      <c r="G370" s="48"/>
      <c r="H370" s="48"/>
      <c r="I370" s="48"/>
    </row>
    <row r="371" spans="1:9" x14ac:dyDescent="0.3">
      <c r="A371" s="40"/>
      <c r="F371" s="7"/>
      <c r="G371" s="48"/>
      <c r="H371" s="48"/>
      <c r="I371" s="48"/>
    </row>
    <row r="372" spans="1:9" x14ac:dyDescent="0.3">
      <c r="A372" s="40"/>
      <c r="F372" s="7"/>
      <c r="G372" s="48"/>
      <c r="H372" s="48"/>
      <c r="I372" s="48"/>
    </row>
    <row r="373" spans="1:9" x14ac:dyDescent="0.3">
      <c r="A373" s="40"/>
      <c r="F373" s="7"/>
      <c r="G373" s="48"/>
      <c r="H373" s="48"/>
      <c r="I373" s="48"/>
    </row>
    <row r="374" spans="1:9" x14ac:dyDescent="0.3">
      <c r="A374" s="40"/>
      <c r="F374" s="7"/>
      <c r="G374" s="48"/>
      <c r="H374" s="48"/>
      <c r="I374" s="48"/>
    </row>
    <row r="375" spans="1:9" x14ac:dyDescent="0.3">
      <c r="A375" s="40"/>
      <c r="F375" s="7"/>
      <c r="G375" s="48"/>
      <c r="H375" s="48"/>
      <c r="I375" s="48"/>
    </row>
    <row r="376" spans="1:9" x14ac:dyDescent="0.3">
      <c r="A376" s="40"/>
      <c r="F376" s="7"/>
      <c r="G376" s="48"/>
      <c r="H376" s="48"/>
      <c r="I376" s="48"/>
    </row>
    <row r="377" spans="1:9" x14ac:dyDescent="0.3">
      <c r="A377" s="40"/>
      <c r="F377" s="7"/>
      <c r="G377" s="48"/>
      <c r="H377" s="48"/>
      <c r="I377" s="48"/>
    </row>
    <row r="378" spans="1:9" x14ac:dyDescent="0.3">
      <c r="A378" s="40"/>
      <c r="F378" s="7"/>
      <c r="G378" s="48"/>
      <c r="H378" s="48"/>
      <c r="I378" s="48"/>
    </row>
    <row r="379" spans="1:9" x14ac:dyDescent="0.3">
      <c r="A379" s="40"/>
      <c r="F379" s="7"/>
      <c r="G379" s="48"/>
      <c r="H379" s="48"/>
      <c r="I379" s="48"/>
    </row>
    <row r="380" spans="1:9" x14ac:dyDescent="0.3">
      <c r="A380" s="40"/>
      <c r="F380" s="7"/>
      <c r="G380" s="48"/>
      <c r="H380" s="48"/>
      <c r="I380" s="48"/>
    </row>
    <row r="381" spans="1:9" x14ac:dyDescent="0.3">
      <c r="A381" s="40"/>
      <c r="F381" s="7"/>
      <c r="G381" s="48"/>
      <c r="H381" s="48"/>
      <c r="I381" s="48"/>
    </row>
    <row r="382" spans="1:9" x14ac:dyDescent="0.3">
      <c r="A382" s="40"/>
      <c r="F382" s="7"/>
      <c r="G382" s="48"/>
      <c r="H382" s="48"/>
      <c r="I382" s="48"/>
    </row>
    <row r="383" spans="1:9" x14ac:dyDescent="0.3">
      <c r="A383" s="40"/>
      <c r="F383" s="7"/>
      <c r="G383" s="48"/>
      <c r="H383" s="48"/>
      <c r="I383" s="48"/>
    </row>
    <row r="384" spans="1:9" x14ac:dyDescent="0.3">
      <c r="A384" s="40"/>
      <c r="F384" s="7"/>
      <c r="G384" s="48"/>
      <c r="H384" s="48"/>
      <c r="I384" s="48"/>
    </row>
    <row r="385" spans="1:9" x14ac:dyDescent="0.3">
      <c r="A385" s="40"/>
      <c r="F385" s="7"/>
      <c r="G385" s="48"/>
      <c r="H385" s="48"/>
      <c r="I385" s="48"/>
    </row>
    <row r="386" spans="1:9" x14ac:dyDescent="0.3">
      <c r="A386" s="40"/>
      <c r="F386" s="7"/>
      <c r="G386" s="48"/>
      <c r="H386" s="48"/>
      <c r="I386" s="48"/>
    </row>
    <row r="387" spans="1:9" x14ac:dyDescent="0.3">
      <c r="A387" s="40"/>
      <c r="F387" s="7"/>
      <c r="G387" s="48"/>
      <c r="H387" s="48"/>
      <c r="I387" s="48"/>
    </row>
    <row r="388" spans="1:9" x14ac:dyDescent="0.3">
      <c r="A388" s="40"/>
      <c r="F388" s="7"/>
      <c r="G388" s="48"/>
      <c r="H388" s="48"/>
      <c r="I388" s="48"/>
    </row>
    <row r="389" spans="1:9" x14ac:dyDescent="0.3">
      <c r="A389" s="40"/>
      <c r="F389" s="7"/>
      <c r="G389" s="48"/>
      <c r="H389" s="48"/>
      <c r="I389" s="48"/>
    </row>
    <row r="390" spans="1:9" x14ac:dyDescent="0.3">
      <c r="A390" s="40"/>
      <c r="F390" s="7"/>
      <c r="G390" s="48"/>
      <c r="H390" s="48"/>
      <c r="I390" s="48"/>
    </row>
    <row r="391" spans="1:9" x14ac:dyDescent="0.3">
      <c r="A391" s="40"/>
      <c r="F391" s="7"/>
      <c r="G391" s="48"/>
      <c r="H391" s="48"/>
      <c r="I391" s="48"/>
    </row>
    <row r="392" spans="1:9" x14ac:dyDescent="0.3">
      <c r="A392" s="40"/>
      <c r="F392" s="7"/>
      <c r="G392" s="48"/>
      <c r="H392" s="48"/>
      <c r="I392" s="48"/>
    </row>
    <row r="393" spans="1:9" x14ac:dyDescent="0.3">
      <c r="A393" s="40"/>
      <c r="F393" s="7"/>
      <c r="G393" s="48"/>
      <c r="H393" s="48"/>
      <c r="I393" s="48"/>
    </row>
    <row r="394" spans="1:9" x14ac:dyDescent="0.3">
      <c r="A394" s="40"/>
      <c r="F394" s="7"/>
      <c r="G394" s="48"/>
      <c r="H394" s="48"/>
      <c r="I394" s="48"/>
    </row>
    <row r="395" spans="1:9" x14ac:dyDescent="0.3">
      <c r="A395" s="40"/>
      <c r="F395" s="7"/>
      <c r="G395" s="48"/>
      <c r="H395" s="48"/>
      <c r="I395" s="48"/>
    </row>
    <row r="396" spans="1:9" x14ac:dyDescent="0.3">
      <c r="A396" s="40"/>
      <c r="F396" s="7"/>
      <c r="G396" s="48"/>
      <c r="H396" s="48"/>
      <c r="I396" s="48"/>
    </row>
    <row r="397" spans="1:9" x14ac:dyDescent="0.3">
      <c r="A397" s="40"/>
      <c r="F397" s="7"/>
      <c r="G397" s="48"/>
      <c r="H397" s="48"/>
      <c r="I397" s="48"/>
    </row>
    <row r="398" spans="1:9" x14ac:dyDescent="0.3">
      <c r="A398" s="40"/>
      <c r="F398" s="7"/>
      <c r="G398" s="48"/>
      <c r="H398" s="48"/>
      <c r="I398" s="48"/>
    </row>
    <row r="399" spans="1:9" x14ac:dyDescent="0.3">
      <c r="A399" s="40"/>
      <c r="F399" s="7"/>
      <c r="G399" s="48"/>
      <c r="H399" s="48"/>
      <c r="I399" s="48"/>
    </row>
    <row r="400" spans="1:9" x14ac:dyDescent="0.3">
      <c r="A400" s="40"/>
      <c r="F400" s="7"/>
      <c r="G400" s="48"/>
      <c r="H400" s="48"/>
      <c r="I400" s="48"/>
    </row>
    <row r="401" spans="1:9" x14ac:dyDescent="0.3">
      <c r="A401" s="40"/>
      <c r="F401" s="7"/>
      <c r="G401" s="48"/>
      <c r="H401" s="48"/>
      <c r="I401" s="48"/>
    </row>
    <row r="402" spans="1:9" x14ac:dyDescent="0.3">
      <c r="A402" s="40"/>
      <c r="F402" s="7"/>
      <c r="G402" s="48"/>
      <c r="H402" s="48"/>
      <c r="I402" s="48"/>
    </row>
    <row r="403" spans="1:9" x14ac:dyDescent="0.3">
      <c r="A403" s="40"/>
      <c r="F403" s="7"/>
      <c r="G403" s="48"/>
      <c r="H403" s="48"/>
      <c r="I403" s="48"/>
    </row>
    <row r="404" spans="1:9" x14ac:dyDescent="0.3">
      <c r="A404" s="40"/>
      <c r="F404" s="7"/>
      <c r="G404" s="48"/>
      <c r="H404" s="48"/>
      <c r="I404" s="48"/>
    </row>
    <row r="405" spans="1:9" x14ac:dyDescent="0.3">
      <c r="A405" s="40"/>
      <c r="F405" s="7"/>
      <c r="G405" s="48"/>
      <c r="H405" s="48"/>
      <c r="I405" s="48"/>
    </row>
    <row r="406" spans="1:9" x14ac:dyDescent="0.3">
      <c r="A406" s="40"/>
      <c r="F406" s="7"/>
      <c r="G406" s="48"/>
      <c r="H406" s="48"/>
      <c r="I406" s="48"/>
    </row>
    <row r="407" spans="1:9" x14ac:dyDescent="0.3">
      <c r="A407" s="40"/>
      <c r="F407" s="7"/>
      <c r="G407" s="48"/>
      <c r="H407" s="48"/>
      <c r="I407" s="48"/>
    </row>
    <row r="408" spans="1:9" x14ac:dyDescent="0.3">
      <c r="A408" s="40"/>
      <c r="F408" s="7"/>
      <c r="G408" s="48"/>
      <c r="H408" s="48"/>
      <c r="I408" s="48"/>
    </row>
    <row r="409" spans="1:9" x14ac:dyDescent="0.3">
      <c r="A409" s="40"/>
      <c r="F409" s="7"/>
      <c r="G409" s="48"/>
      <c r="H409" s="48"/>
      <c r="I409" s="48"/>
    </row>
    <row r="410" spans="1:9" x14ac:dyDescent="0.3">
      <c r="A410" s="40"/>
      <c r="F410" s="7"/>
      <c r="G410" s="48"/>
      <c r="H410" s="48"/>
      <c r="I410" s="48"/>
    </row>
    <row r="411" spans="1:9" x14ac:dyDescent="0.3">
      <c r="A411" s="40"/>
      <c r="F411" s="7"/>
      <c r="G411" s="48"/>
      <c r="H411" s="48"/>
      <c r="I411" s="48"/>
    </row>
    <row r="412" spans="1:9" x14ac:dyDescent="0.3">
      <c r="A412" s="40"/>
      <c r="F412" s="7"/>
      <c r="G412" s="48"/>
      <c r="H412" s="48"/>
      <c r="I412" s="48"/>
    </row>
    <row r="413" spans="1:9" x14ac:dyDescent="0.3">
      <c r="A413" s="40"/>
      <c r="F413" s="7"/>
      <c r="G413" s="48"/>
      <c r="H413" s="48"/>
      <c r="I413" s="48"/>
    </row>
    <row r="414" spans="1:9" x14ac:dyDescent="0.3">
      <c r="A414" s="40"/>
      <c r="F414" s="7"/>
      <c r="G414" s="48"/>
      <c r="H414" s="48"/>
      <c r="I414" s="48"/>
    </row>
    <row r="415" spans="1:9" x14ac:dyDescent="0.3">
      <c r="A415" s="40"/>
      <c r="F415" s="7"/>
      <c r="G415" s="48"/>
      <c r="H415" s="48"/>
      <c r="I415" s="48"/>
    </row>
    <row r="416" spans="1:9" x14ac:dyDescent="0.3">
      <c r="A416" s="40"/>
      <c r="F416" s="7"/>
      <c r="G416" s="48"/>
      <c r="H416" s="48"/>
      <c r="I416" s="48"/>
    </row>
    <row r="417" spans="1:9" x14ac:dyDescent="0.3">
      <c r="A417" s="40"/>
      <c r="F417" s="7"/>
      <c r="G417" s="48"/>
      <c r="H417" s="48"/>
      <c r="I417" s="48"/>
    </row>
    <row r="418" spans="1:9" x14ac:dyDescent="0.3">
      <c r="A418" s="40"/>
      <c r="F418" s="7"/>
      <c r="G418" s="48"/>
      <c r="H418" s="48"/>
      <c r="I418" s="48"/>
    </row>
    <row r="419" spans="1:9" x14ac:dyDescent="0.3">
      <c r="A419" s="40"/>
      <c r="F419" s="7"/>
      <c r="G419" s="48"/>
      <c r="H419" s="48"/>
      <c r="I419" s="48"/>
    </row>
    <row r="420" spans="1:9" x14ac:dyDescent="0.3">
      <c r="A420" s="40"/>
      <c r="F420" s="7"/>
      <c r="G420" s="48"/>
      <c r="H420" s="48"/>
      <c r="I420" s="48"/>
    </row>
    <row r="421" spans="1:9" x14ac:dyDescent="0.3">
      <c r="A421" s="40"/>
      <c r="F421" s="7"/>
      <c r="G421" s="48"/>
      <c r="H421" s="48"/>
      <c r="I421" s="48"/>
    </row>
    <row r="422" spans="1:9" x14ac:dyDescent="0.3">
      <c r="A422" s="40"/>
      <c r="F422" s="7"/>
      <c r="G422" s="48"/>
      <c r="H422" s="48"/>
      <c r="I422" s="48"/>
    </row>
    <row r="423" spans="1:9" x14ac:dyDescent="0.3">
      <c r="A423" s="40"/>
      <c r="F423" s="7"/>
      <c r="G423" s="48"/>
      <c r="H423" s="48"/>
      <c r="I423" s="48"/>
    </row>
    <row r="424" spans="1:9" x14ac:dyDescent="0.3">
      <c r="A424" s="40"/>
      <c r="F424" s="7"/>
      <c r="G424" s="48"/>
      <c r="H424" s="48"/>
      <c r="I424" s="48"/>
    </row>
    <row r="425" spans="1:9" x14ac:dyDescent="0.3">
      <c r="A425" s="40"/>
      <c r="F425" s="7"/>
      <c r="G425" s="48"/>
      <c r="H425" s="48"/>
      <c r="I425" s="48"/>
    </row>
    <row r="426" spans="1:9" x14ac:dyDescent="0.3">
      <c r="A426" s="40"/>
      <c r="F426" s="7"/>
      <c r="G426" s="48"/>
      <c r="H426" s="48"/>
      <c r="I426" s="48"/>
    </row>
    <row r="427" spans="1:9" x14ac:dyDescent="0.3">
      <c r="A427" s="40"/>
      <c r="F427" s="7"/>
      <c r="G427" s="48"/>
      <c r="H427" s="48"/>
      <c r="I427" s="48"/>
    </row>
    <row r="428" spans="1:9" x14ac:dyDescent="0.3">
      <c r="A428" s="40"/>
      <c r="F428" s="7"/>
      <c r="G428" s="48"/>
      <c r="H428" s="48"/>
      <c r="I428" s="48"/>
    </row>
    <row r="429" spans="1:9" x14ac:dyDescent="0.3">
      <c r="A429" s="40"/>
      <c r="F429" s="7"/>
      <c r="G429" s="48"/>
      <c r="H429" s="48"/>
      <c r="I429" s="48"/>
    </row>
    <row r="430" spans="1:9" x14ac:dyDescent="0.3">
      <c r="A430" s="40"/>
      <c r="F430" s="7"/>
      <c r="G430" s="48"/>
      <c r="H430" s="48"/>
      <c r="I430" s="48"/>
    </row>
    <row r="431" spans="1:9" x14ac:dyDescent="0.3">
      <c r="A431" s="40"/>
      <c r="F431" s="7"/>
      <c r="G431" s="48"/>
      <c r="H431" s="48"/>
      <c r="I431" s="48"/>
    </row>
    <row r="432" spans="1:9" x14ac:dyDescent="0.3">
      <c r="A432" s="40"/>
      <c r="F432" s="7"/>
      <c r="G432" s="48"/>
      <c r="H432" s="48"/>
      <c r="I432" s="48"/>
    </row>
    <row r="433" spans="1:9" x14ac:dyDescent="0.3">
      <c r="A433" s="40"/>
      <c r="F433" s="7"/>
      <c r="G433" s="48"/>
      <c r="H433" s="48"/>
      <c r="I433" s="48"/>
    </row>
    <row r="434" spans="1:9" x14ac:dyDescent="0.3">
      <c r="A434" s="40"/>
      <c r="F434" s="7"/>
      <c r="G434" s="48"/>
      <c r="H434" s="48"/>
      <c r="I434" s="48"/>
    </row>
    <row r="435" spans="1:9" x14ac:dyDescent="0.3">
      <c r="A435" s="40"/>
      <c r="F435" s="7"/>
      <c r="G435" s="48"/>
      <c r="H435" s="48"/>
      <c r="I435" s="48"/>
    </row>
    <row r="436" spans="1:9" x14ac:dyDescent="0.3">
      <c r="A436" s="40"/>
      <c r="F436" s="7"/>
      <c r="G436" s="48"/>
      <c r="H436" s="48"/>
      <c r="I436" s="48"/>
    </row>
    <row r="437" spans="1:9" x14ac:dyDescent="0.3">
      <c r="A437" s="40"/>
      <c r="F437" s="7"/>
      <c r="G437" s="48"/>
      <c r="H437" s="48"/>
      <c r="I437" s="48"/>
    </row>
    <row r="438" spans="1:9" x14ac:dyDescent="0.3">
      <c r="A438" s="40"/>
      <c r="F438" s="7"/>
      <c r="G438" s="48"/>
      <c r="H438" s="48"/>
      <c r="I438" s="48"/>
    </row>
    <row r="439" spans="1:9" x14ac:dyDescent="0.3">
      <c r="A439" s="40"/>
      <c r="F439" s="7"/>
      <c r="G439" s="48"/>
      <c r="H439" s="48"/>
      <c r="I439" s="48"/>
    </row>
    <row r="440" spans="1:9" x14ac:dyDescent="0.3">
      <c r="A440" s="40"/>
      <c r="F440" s="7"/>
      <c r="G440" s="48"/>
      <c r="H440" s="48"/>
      <c r="I440" s="48"/>
    </row>
    <row r="441" spans="1:9" x14ac:dyDescent="0.3">
      <c r="A441" s="40"/>
      <c r="F441" s="7"/>
      <c r="G441" s="48"/>
      <c r="H441" s="48"/>
      <c r="I441" s="48"/>
    </row>
    <row r="442" spans="1:9" x14ac:dyDescent="0.3">
      <c r="A442" s="40"/>
      <c r="F442" s="7"/>
      <c r="G442" s="48"/>
      <c r="H442" s="48"/>
      <c r="I442" s="48"/>
    </row>
    <row r="443" spans="1:9" x14ac:dyDescent="0.3">
      <c r="A443" s="40"/>
      <c r="F443" s="7"/>
      <c r="G443" s="48"/>
      <c r="H443" s="48"/>
      <c r="I443" s="48"/>
    </row>
    <row r="444" spans="1:9" x14ac:dyDescent="0.3">
      <c r="A444" s="40"/>
      <c r="F444" s="7"/>
      <c r="G444" s="48"/>
      <c r="H444" s="48"/>
      <c r="I444" s="48"/>
    </row>
    <row r="445" spans="1:9" x14ac:dyDescent="0.3">
      <c r="A445" s="40"/>
      <c r="F445" s="7"/>
      <c r="G445" s="48"/>
      <c r="H445" s="48"/>
      <c r="I445" s="48"/>
    </row>
    <row r="446" spans="1:9" x14ac:dyDescent="0.3">
      <c r="A446" s="40"/>
      <c r="F446" s="7"/>
      <c r="G446" s="48"/>
      <c r="H446" s="48"/>
      <c r="I446" s="48"/>
    </row>
    <row r="447" spans="1:9" x14ac:dyDescent="0.3">
      <c r="A447" s="40"/>
      <c r="F447" s="7"/>
      <c r="G447" s="48"/>
      <c r="H447" s="48"/>
      <c r="I447" s="48"/>
    </row>
    <row r="448" spans="1:9" x14ac:dyDescent="0.3">
      <c r="A448" s="40"/>
      <c r="F448" s="7"/>
      <c r="G448" s="48"/>
      <c r="H448" s="48"/>
      <c r="I448" s="48"/>
    </row>
    <row r="449" spans="1:9" x14ac:dyDescent="0.3">
      <c r="A449" s="40"/>
      <c r="F449" s="7"/>
      <c r="G449" s="48"/>
      <c r="H449" s="48"/>
      <c r="I449" s="48"/>
    </row>
    <row r="450" spans="1:9" x14ac:dyDescent="0.3">
      <c r="A450" s="40"/>
      <c r="F450" s="7"/>
      <c r="G450" s="48"/>
      <c r="H450" s="48"/>
      <c r="I450" s="48"/>
    </row>
    <row r="451" spans="1:9" x14ac:dyDescent="0.3">
      <c r="A451" s="40"/>
      <c r="F451" s="7"/>
      <c r="G451" s="48"/>
      <c r="H451" s="48"/>
      <c r="I451" s="48"/>
    </row>
    <row r="452" spans="1:9" x14ac:dyDescent="0.3">
      <c r="A452" s="40"/>
      <c r="F452" s="7"/>
      <c r="G452" s="48"/>
      <c r="H452" s="48"/>
      <c r="I452" s="48"/>
    </row>
    <row r="453" spans="1:9" x14ac:dyDescent="0.3">
      <c r="A453" s="40"/>
      <c r="F453" s="7"/>
      <c r="G453" s="48"/>
      <c r="H453" s="48"/>
      <c r="I453" s="48"/>
    </row>
    <row r="454" spans="1:9" x14ac:dyDescent="0.3">
      <c r="A454" s="40"/>
      <c r="F454" s="7"/>
      <c r="G454" s="48"/>
      <c r="H454" s="48"/>
      <c r="I454" s="48"/>
    </row>
    <row r="455" spans="1:9" x14ac:dyDescent="0.3">
      <c r="A455" s="40"/>
      <c r="F455" s="7"/>
      <c r="G455" s="48"/>
      <c r="H455" s="48"/>
      <c r="I455" s="48"/>
    </row>
    <row r="456" spans="1:9" x14ac:dyDescent="0.3">
      <c r="A456" s="40"/>
      <c r="F456" s="7"/>
      <c r="G456" s="48"/>
      <c r="H456" s="48"/>
      <c r="I456" s="48"/>
    </row>
    <row r="457" spans="1:9" x14ac:dyDescent="0.3">
      <c r="A457" s="40"/>
      <c r="F457" s="7"/>
      <c r="G457" s="48"/>
      <c r="H457" s="48"/>
      <c r="I457" s="48"/>
    </row>
    <row r="458" spans="1:9" x14ac:dyDescent="0.3">
      <c r="A458" s="40"/>
      <c r="F458" s="7"/>
      <c r="G458" s="48"/>
      <c r="H458" s="48"/>
      <c r="I458" s="48"/>
    </row>
    <row r="459" spans="1:9" x14ac:dyDescent="0.3">
      <c r="A459" s="40"/>
      <c r="F459" s="7"/>
      <c r="G459" s="48"/>
      <c r="H459" s="48"/>
      <c r="I459" s="48"/>
    </row>
    <row r="460" spans="1:9" x14ac:dyDescent="0.3">
      <c r="A460" s="40"/>
      <c r="F460" s="7"/>
      <c r="G460" s="48"/>
      <c r="H460" s="48"/>
      <c r="I460" s="48"/>
    </row>
    <row r="461" spans="1:9" x14ac:dyDescent="0.3">
      <c r="A461" s="40"/>
      <c r="F461" s="7"/>
      <c r="G461" s="48"/>
      <c r="H461" s="48"/>
      <c r="I461" s="48"/>
    </row>
    <row r="462" spans="1:9" x14ac:dyDescent="0.3">
      <c r="A462" s="40"/>
      <c r="F462" s="7"/>
      <c r="G462" s="48"/>
      <c r="H462" s="48"/>
      <c r="I462" s="48"/>
    </row>
    <row r="463" spans="1:9" x14ac:dyDescent="0.3">
      <c r="A463" s="40"/>
      <c r="F463" s="7"/>
      <c r="G463" s="48"/>
      <c r="H463" s="48"/>
      <c r="I463" s="48"/>
    </row>
    <row r="464" spans="1:9" x14ac:dyDescent="0.3">
      <c r="A464" s="40"/>
      <c r="F464" s="7"/>
      <c r="G464" s="48"/>
      <c r="H464" s="48"/>
      <c r="I464" s="48"/>
    </row>
    <row r="465" spans="1:9" x14ac:dyDescent="0.3">
      <c r="A465" s="40"/>
      <c r="F465" s="7"/>
      <c r="G465" s="48"/>
      <c r="H465" s="48"/>
      <c r="I465" s="48"/>
    </row>
    <row r="466" spans="1:9" x14ac:dyDescent="0.3">
      <c r="A466" s="40"/>
      <c r="F466" s="7"/>
      <c r="G466" s="48"/>
      <c r="H466" s="48"/>
      <c r="I466" s="48"/>
    </row>
    <row r="467" spans="1:9" x14ac:dyDescent="0.3">
      <c r="A467" s="40"/>
      <c r="F467" s="7"/>
      <c r="G467" s="48"/>
      <c r="H467" s="48"/>
      <c r="I467" s="48"/>
    </row>
    <row r="468" spans="1:9" x14ac:dyDescent="0.3">
      <c r="A468" s="40"/>
      <c r="F468" s="7"/>
      <c r="G468" s="48"/>
      <c r="H468" s="48"/>
      <c r="I468" s="48"/>
    </row>
    <row r="469" spans="1:9" x14ac:dyDescent="0.3">
      <c r="A469" s="40"/>
      <c r="F469" s="7"/>
      <c r="G469" s="48"/>
      <c r="H469" s="48"/>
      <c r="I469" s="48"/>
    </row>
    <row r="470" spans="1:9" x14ac:dyDescent="0.3">
      <c r="A470" s="40"/>
      <c r="F470" s="7"/>
      <c r="G470" s="48"/>
      <c r="H470" s="48"/>
      <c r="I470" s="48"/>
    </row>
    <row r="471" spans="1:9" x14ac:dyDescent="0.3">
      <c r="A471" s="40"/>
      <c r="F471" s="7"/>
      <c r="G471" s="48"/>
      <c r="H471" s="48"/>
      <c r="I471" s="48"/>
    </row>
    <row r="472" spans="1:9" x14ac:dyDescent="0.3">
      <c r="A472" s="40"/>
      <c r="F472" s="7"/>
      <c r="G472" s="48"/>
      <c r="H472" s="48"/>
      <c r="I472" s="48"/>
    </row>
    <row r="473" spans="1:9" x14ac:dyDescent="0.3">
      <c r="A473" s="40"/>
      <c r="F473" s="7"/>
      <c r="G473" s="48"/>
      <c r="H473" s="48"/>
      <c r="I473" s="48"/>
    </row>
    <row r="474" spans="1:9" x14ac:dyDescent="0.3">
      <c r="A474" s="40"/>
      <c r="F474" s="7"/>
      <c r="G474" s="48"/>
      <c r="H474" s="48"/>
      <c r="I474" s="48"/>
    </row>
    <row r="475" spans="1:9" x14ac:dyDescent="0.3">
      <c r="A475" s="40"/>
      <c r="F475" s="7"/>
      <c r="G475" s="48"/>
      <c r="H475" s="48"/>
      <c r="I475" s="48"/>
    </row>
    <row r="476" spans="1:9" x14ac:dyDescent="0.3">
      <c r="A476" s="40"/>
      <c r="F476" s="7"/>
      <c r="G476" s="48"/>
      <c r="H476" s="48"/>
      <c r="I476" s="48"/>
    </row>
    <row r="477" spans="1:9" x14ac:dyDescent="0.3">
      <c r="A477" s="40"/>
      <c r="F477" s="7"/>
      <c r="G477" s="48"/>
      <c r="H477" s="48"/>
      <c r="I477" s="48"/>
    </row>
    <row r="478" spans="1:9" x14ac:dyDescent="0.3">
      <c r="A478" s="40"/>
      <c r="F478" s="7"/>
      <c r="G478" s="48"/>
      <c r="H478" s="48"/>
      <c r="I478" s="48"/>
    </row>
    <row r="479" spans="1:9" x14ac:dyDescent="0.3">
      <c r="A479" s="40"/>
      <c r="F479" s="7"/>
      <c r="G479" s="48"/>
      <c r="H479" s="48"/>
      <c r="I479" s="48"/>
    </row>
    <row r="480" spans="1:9" x14ac:dyDescent="0.3">
      <c r="A480" s="40"/>
      <c r="F480" s="7"/>
      <c r="G480" s="48"/>
      <c r="H480" s="48"/>
      <c r="I480" s="48"/>
    </row>
    <row r="481" spans="1:9" x14ac:dyDescent="0.3">
      <c r="A481" s="40"/>
      <c r="F481" s="7"/>
      <c r="G481" s="48"/>
      <c r="H481" s="48"/>
      <c r="I481" s="48"/>
    </row>
    <row r="482" spans="1:9" x14ac:dyDescent="0.3">
      <c r="A482" s="40"/>
      <c r="F482" s="7"/>
      <c r="G482" s="48"/>
      <c r="H482" s="48"/>
      <c r="I482" s="48"/>
    </row>
    <row r="483" spans="1:9" x14ac:dyDescent="0.3">
      <c r="A483" s="40"/>
      <c r="F483" s="7"/>
      <c r="G483" s="48"/>
      <c r="H483" s="48"/>
      <c r="I483" s="48"/>
    </row>
    <row r="484" spans="1:9" x14ac:dyDescent="0.3">
      <c r="A484" s="40"/>
      <c r="F484" s="7"/>
      <c r="G484" s="48"/>
      <c r="H484" s="48"/>
      <c r="I484" s="48"/>
    </row>
    <row r="485" spans="1:9" x14ac:dyDescent="0.3">
      <c r="A485" s="40"/>
      <c r="F485" s="7"/>
      <c r="G485" s="48"/>
      <c r="H485" s="48"/>
      <c r="I485" s="48"/>
    </row>
    <row r="486" spans="1:9" x14ac:dyDescent="0.3">
      <c r="A486" s="40"/>
      <c r="F486" s="7"/>
      <c r="G486" s="48"/>
      <c r="H486" s="48"/>
      <c r="I486" s="48"/>
    </row>
    <row r="487" spans="1:9" x14ac:dyDescent="0.3">
      <c r="A487" s="40"/>
      <c r="F487" s="7"/>
      <c r="G487" s="48"/>
      <c r="H487" s="48"/>
      <c r="I487" s="48"/>
    </row>
    <row r="488" spans="1:9" x14ac:dyDescent="0.3">
      <c r="A488" s="40"/>
      <c r="F488" s="7"/>
      <c r="G488" s="48"/>
      <c r="H488" s="48"/>
      <c r="I488" s="48"/>
    </row>
    <row r="489" spans="1:9" x14ac:dyDescent="0.3">
      <c r="A489" s="40"/>
      <c r="F489" s="7"/>
      <c r="G489" s="48"/>
      <c r="H489" s="48"/>
      <c r="I489" s="48"/>
    </row>
    <row r="490" spans="1:9" x14ac:dyDescent="0.3">
      <c r="A490" s="40"/>
      <c r="F490" s="7"/>
      <c r="G490" s="48"/>
      <c r="H490" s="48"/>
      <c r="I490" s="48"/>
    </row>
    <row r="491" spans="1:9" x14ac:dyDescent="0.3">
      <c r="A491" s="40"/>
      <c r="F491" s="7"/>
      <c r="G491" s="48"/>
      <c r="H491" s="48"/>
      <c r="I491" s="48"/>
    </row>
    <row r="492" spans="1:9" x14ac:dyDescent="0.3">
      <c r="A492" s="40"/>
      <c r="F492" s="7"/>
      <c r="G492" s="48"/>
      <c r="H492" s="48"/>
      <c r="I492" s="48"/>
    </row>
    <row r="493" spans="1:9" x14ac:dyDescent="0.3">
      <c r="A493" s="40"/>
      <c r="F493" s="7"/>
      <c r="G493" s="48"/>
      <c r="H493" s="48"/>
      <c r="I493" s="48"/>
    </row>
    <row r="494" spans="1:9" x14ac:dyDescent="0.3">
      <c r="A494" s="40"/>
      <c r="F494" s="7"/>
      <c r="G494" s="48"/>
      <c r="H494" s="48"/>
      <c r="I494" s="48"/>
    </row>
    <row r="495" spans="1:9" x14ac:dyDescent="0.3">
      <c r="A495" s="40"/>
      <c r="F495" s="7"/>
      <c r="G495" s="48"/>
      <c r="H495" s="48"/>
      <c r="I495" s="48"/>
    </row>
    <row r="496" spans="1:9" x14ac:dyDescent="0.3">
      <c r="A496" s="40"/>
      <c r="F496" s="7"/>
      <c r="G496" s="48"/>
      <c r="H496" s="48"/>
      <c r="I496" s="48"/>
    </row>
    <row r="497" spans="1:9" x14ac:dyDescent="0.3">
      <c r="A497" s="40"/>
      <c r="F497" s="7"/>
      <c r="G497" s="48"/>
      <c r="H497" s="48"/>
      <c r="I497" s="48"/>
    </row>
    <row r="498" spans="1:9" x14ac:dyDescent="0.3">
      <c r="A498" s="40"/>
      <c r="F498" s="7"/>
      <c r="G498" s="48"/>
      <c r="H498" s="48"/>
      <c r="I498" s="48"/>
    </row>
    <row r="499" spans="1:9" x14ac:dyDescent="0.3">
      <c r="A499" s="40"/>
      <c r="F499" s="7"/>
      <c r="G499" s="48"/>
      <c r="H499" s="48"/>
      <c r="I499" s="48"/>
    </row>
    <row r="500" spans="1:9" x14ac:dyDescent="0.3">
      <c r="A500" s="40"/>
      <c r="F500" s="7"/>
      <c r="G500" s="48"/>
      <c r="H500" s="48"/>
      <c r="I500" s="48"/>
    </row>
    <row r="501" spans="1:9" x14ac:dyDescent="0.3">
      <c r="A501" s="40"/>
      <c r="F501" s="7"/>
      <c r="G501" s="48"/>
      <c r="H501" s="48"/>
      <c r="I501" s="48"/>
    </row>
    <row r="502" spans="1:9" x14ac:dyDescent="0.3">
      <c r="A502" s="40"/>
      <c r="F502" s="7"/>
      <c r="G502" s="48"/>
      <c r="H502" s="48"/>
      <c r="I502" s="48"/>
    </row>
    <row r="503" spans="1:9" x14ac:dyDescent="0.3">
      <c r="A503" s="40"/>
      <c r="F503" s="7"/>
      <c r="G503" s="48"/>
      <c r="H503" s="48"/>
      <c r="I503" s="48"/>
    </row>
    <row r="504" spans="1:9" x14ac:dyDescent="0.3">
      <c r="A504" s="40"/>
      <c r="F504" s="7"/>
      <c r="G504" s="48"/>
      <c r="H504" s="48"/>
      <c r="I504" s="48"/>
    </row>
    <row r="505" spans="1:9" x14ac:dyDescent="0.3">
      <c r="A505" s="40"/>
      <c r="F505" s="7"/>
      <c r="G505" s="48"/>
      <c r="H505" s="48"/>
      <c r="I505" s="48"/>
    </row>
    <row r="506" spans="1:9" x14ac:dyDescent="0.3">
      <c r="A506" s="40"/>
      <c r="F506" s="7"/>
      <c r="G506" s="48"/>
      <c r="H506" s="48"/>
      <c r="I506" s="48"/>
    </row>
    <row r="507" spans="1:9" x14ac:dyDescent="0.3">
      <c r="A507" s="40"/>
      <c r="F507" s="7"/>
      <c r="G507" s="48"/>
      <c r="H507" s="48"/>
      <c r="I507" s="48"/>
    </row>
    <row r="508" spans="1:9" x14ac:dyDescent="0.3">
      <c r="A508" s="40"/>
      <c r="F508" s="7"/>
      <c r="G508" s="48"/>
      <c r="H508" s="48"/>
      <c r="I508" s="48"/>
    </row>
    <row r="509" spans="1:9" x14ac:dyDescent="0.3">
      <c r="A509" s="40"/>
      <c r="F509" s="7"/>
      <c r="G509" s="48"/>
      <c r="H509" s="48"/>
      <c r="I509" s="48"/>
    </row>
    <row r="510" spans="1:9" x14ac:dyDescent="0.3">
      <c r="A510" s="40"/>
      <c r="F510" s="7"/>
      <c r="G510" s="48"/>
      <c r="H510" s="48"/>
      <c r="I510" s="48"/>
    </row>
    <row r="511" spans="1:9" x14ac:dyDescent="0.3">
      <c r="A511" s="40"/>
      <c r="F511" s="7"/>
      <c r="G511" s="48"/>
      <c r="H511" s="48"/>
      <c r="I511" s="48"/>
    </row>
    <row r="512" spans="1:9" x14ac:dyDescent="0.3">
      <c r="A512" s="40"/>
      <c r="F512" s="7"/>
      <c r="G512" s="48"/>
      <c r="H512" s="48"/>
      <c r="I512" s="48"/>
    </row>
    <row r="513" spans="1:9" x14ac:dyDescent="0.3">
      <c r="A513" s="40"/>
      <c r="F513" s="7"/>
      <c r="G513" s="48"/>
      <c r="H513" s="48"/>
      <c r="I513" s="48"/>
    </row>
    <row r="514" spans="1:9" x14ac:dyDescent="0.3">
      <c r="A514" s="40"/>
      <c r="F514" s="7"/>
      <c r="G514" s="48"/>
      <c r="H514" s="48"/>
      <c r="I514" s="48"/>
    </row>
    <row r="515" spans="1:9" x14ac:dyDescent="0.3">
      <c r="A515" s="40"/>
      <c r="F515" s="7"/>
      <c r="G515" s="48"/>
      <c r="H515" s="48"/>
      <c r="I515" s="48"/>
    </row>
    <row r="516" spans="1:9" x14ac:dyDescent="0.3">
      <c r="A516" s="40"/>
      <c r="F516" s="7"/>
      <c r="G516" s="48"/>
      <c r="H516" s="48"/>
      <c r="I516" s="48"/>
    </row>
    <row r="517" spans="1:9" x14ac:dyDescent="0.3">
      <c r="A517" s="40"/>
      <c r="F517" s="7"/>
      <c r="G517" s="48"/>
      <c r="H517" s="48"/>
      <c r="I517" s="48"/>
    </row>
    <row r="518" spans="1:9" x14ac:dyDescent="0.3">
      <c r="A518" s="40"/>
      <c r="F518" s="7"/>
      <c r="G518" s="48"/>
      <c r="H518" s="48"/>
      <c r="I518" s="48"/>
    </row>
    <row r="519" spans="1:9" x14ac:dyDescent="0.3">
      <c r="A519" s="40"/>
      <c r="F519" s="7"/>
      <c r="G519" s="48"/>
      <c r="H519" s="48"/>
      <c r="I519" s="48"/>
    </row>
    <row r="520" spans="1:9" x14ac:dyDescent="0.3">
      <c r="A520" s="40"/>
      <c r="F520" s="7"/>
      <c r="G520" s="48"/>
      <c r="H520" s="48"/>
      <c r="I520" s="48"/>
    </row>
    <row r="521" spans="1:9" x14ac:dyDescent="0.3">
      <c r="A521" s="40"/>
      <c r="F521" s="7"/>
      <c r="G521" s="48"/>
      <c r="H521" s="48"/>
      <c r="I521" s="48"/>
    </row>
    <row r="522" spans="1:9" x14ac:dyDescent="0.3">
      <c r="A522" s="40"/>
      <c r="F522" s="7"/>
      <c r="G522" s="48"/>
      <c r="H522" s="48"/>
      <c r="I522" s="48"/>
    </row>
    <row r="523" spans="1:9" x14ac:dyDescent="0.3">
      <c r="A523" s="40"/>
      <c r="F523" s="7"/>
      <c r="G523" s="48"/>
      <c r="H523" s="48"/>
      <c r="I523" s="48"/>
    </row>
    <row r="524" spans="1:9" x14ac:dyDescent="0.3">
      <c r="A524" s="40"/>
      <c r="F524" s="7"/>
      <c r="G524" s="48"/>
      <c r="H524" s="48"/>
      <c r="I524" s="48"/>
    </row>
    <row r="525" spans="1:9" x14ac:dyDescent="0.3">
      <c r="A525" s="40"/>
      <c r="F525" s="7"/>
      <c r="G525" s="48"/>
      <c r="H525" s="48"/>
      <c r="I525" s="48"/>
    </row>
    <row r="526" spans="1:9" x14ac:dyDescent="0.3">
      <c r="A526" s="40"/>
      <c r="F526" s="7"/>
      <c r="G526" s="48"/>
      <c r="H526" s="48"/>
      <c r="I526" s="48"/>
    </row>
    <row r="527" spans="1:9" x14ac:dyDescent="0.3">
      <c r="A527" s="40"/>
      <c r="F527" s="7"/>
      <c r="G527" s="48"/>
      <c r="H527" s="48"/>
      <c r="I527" s="48"/>
    </row>
    <row r="528" spans="1:9" x14ac:dyDescent="0.3">
      <c r="A528" s="40"/>
      <c r="F528" s="7"/>
      <c r="G528" s="48"/>
      <c r="H528" s="48"/>
      <c r="I528" s="48"/>
    </row>
    <row r="529" spans="1:1" x14ac:dyDescent="0.3">
      <c r="A529" s="40"/>
    </row>
    <row r="1048576" spans="7:9" x14ac:dyDescent="0.3">
      <c r="G1048576"/>
      <c r="H1048576"/>
      <c r="I104857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Sheet4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2015-06-05T18:17:20Z</dcterms:created>
  <dcterms:modified xsi:type="dcterms:W3CDTF">2023-09-02T18:04:28Z</dcterms:modified>
</cp:coreProperties>
</file>